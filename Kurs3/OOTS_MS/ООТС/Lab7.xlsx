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osin/Desktop/Отчёты_Системы/ООТС/"/>
    </mc:Choice>
  </mc:AlternateContent>
  <xr:revisionPtr revIDLastSave="0" documentId="13_ncr:1_{C0B67588-D7E3-2945-8342-364BC86407F1}" xr6:coauthVersionLast="47" xr6:coauthVersionMax="47" xr10:uidLastSave="{00000000-0000-0000-0000-000000000000}"/>
  <bookViews>
    <workbookView xWindow="0" yWindow="660" windowWidth="29400" windowHeight="18460" xr2:uid="{33EEBE83-1CA0-C348-B658-1482B796B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D55" i="1"/>
  <c r="E55" i="1"/>
  <c r="F55" i="1"/>
  <c r="J55" i="1" s="1"/>
  <c r="G55" i="1"/>
  <c r="H55" i="1"/>
  <c r="I55" i="1"/>
  <c r="B55" i="1"/>
  <c r="C54" i="1"/>
  <c r="D54" i="1"/>
  <c r="E54" i="1"/>
  <c r="F54" i="1"/>
  <c r="G54" i="1"/>
  <c r="H54" i="1"/>
  <c r="I54" i="1"/>
  <c r="B54" i="1"/>
  <c r="J54" i="1"/>
  <c r="O23" i="1"/>
  <c r="D23" i="1" l="1"/>
  <c r="E23" i="1"/>
  <c r="F23" i="1"/>
  <c r="G23" i="1"/>
  <c r="D58" i="1"/>
  <c r="E58" i="1"/>
  <c r="F58" i="1"/>
  <c r="G58" i="1"/>
  <c r="O40" i="1"/>
  <c r="B12" i="1"/>
  <c r="O21" i="1" s="1"/>
  <c r="C12" i="1"/>
  <c r="C58" i="1" s="1"/>
  <c r="H12" i="1"/>
  <c r="H58" i="1" s="1"/>
  <c r="I12" i="1"/>
  <c r="I22" i="1" s="1"/>
  <c r="B13" i="1"/>
  <c r="B46" i="1" s="1"/>
  <c r="C13" i="1"/>
  <c r="H13" i="1"/>
  <c r="H38" i="1" s="1"/>
  <c r="I13" i="1"/>
  <c r="I43" i="1" s="1"/>
  <c r="B14" i="1"/>
  <c r="C14" i="1"/>
  <c r="H14" i="1"/>
  <c r="I14" i="1"/>
  <c r="B16" i="1"/>
  <c r="O24" i="1" s="1"/>
  <c r="C16" i="1"/>
  <c r="H16" i="1"/>
  <c r="I16" i="1"/>
  <c r="I50" i="1" s="1"/>
  <c r="D51" i="1"/>
  <c r="E51" i="1"/>
  <c r="F51" i="1"/>
  <c r="G51" i="1"/>
  <c r="D50" i="1"/>
  <c r="E50" i="1"/>
  <c r="F50" i="1"/>
  <c r="G50" i="1"/>
  <c r="B50" i="1"/>
  <c r="D46" i="1"/>
  <c r="E46" i="1"/>
  <c r="F46" i="1"/>
  <c r="G46" i="1"/>
  <c r="D47" i="1"/>
  <c r="E47" i="1"/>
  <c r="F47" i="1"/>
  <c r="G47" i="1"/>
  <c r="D43" i="1"/>
  <c r="E43" i="1"/>
  <c r="F43" i="1"/>
  <c r="G43" i="1"/>
  <c r="D42" i="1"/>
  <c r="E42" i="1"/>
  <c r="F42" i="1"/>
  <c r="G42" i="1"/>
  <c r="D39" i="1"/>
  <c r="E39" i="1"/>
  <c r="F39" i="1"/>
  <c r="G39" i="1"/>
  <c r="D38" i="1"/>
  <c r="E38" i="1"/>
  <c r="F38" i="1"/>
  <c r="G38" i="1"/>
  <c r="D35" i="1"/>
  <c r="E35" i="1"/>
  <c r="F35" i="1"/>
  <c r="G35" i="1"/>
  <c r="D34" i="1"/>
  <c r="E34" i="1"/>
  <c r="F34" i="1"/>
  <c r="G34" i="1"/>
  <c r="D31" i="1"/>
  <c r="E31" i="1"/>
  <c r="F31" i="1"/>
  <c r="G31" i="1"/>
  <c r="D27" i="1"/>
  <c r="E27" i="1"/>
  <c r="F27" i="1"/>
  <c r="G27" i="1"/>
  <c r="D30" i="1"/>
  <c r="E30" i="1"/>
  <c r="F30" i="1"/>
  <c r="G30" i="1"/>
  <c r="D26" i="1"/>
  <c r="E26" i="1"/>
  <c r="F26" i="1"/>
  <c r="G26" i="1"/>
  <c r="D22" i="1"/>
  <c r="E22" i="1"/>
  <c r="F22" i="1"/>
  <c r="G22" i="1"/>
  <c r="I15" i="1"/>
  <c r="I31" i="1" s="1"/>
  <c r="H15" i="1"/>
  <c r="C15" i="1"/>
  <c r="C31" i="1" s="1"/>
  <c r="B15" i="1"/>
  <c r="C27" i="1" l="1"/>
  <c r="C30" i="1"/>
  <c r="B31" i="1"/>
  <c r="C26" i="1"/>
  <c r="B27" i="1"/>
  <c r="B38" i="1"/>
  <c r="B30" i="1"/>
  <c r="I27" i="1"/>
  <c r="H47" i="1"/>
  <c r="B26" i="1"/>
  <c r="I30" i="1"/>
  <c r="B42" i="1"/>
  <c r="C51" i="1"/>
  <c r="C46" i="1"/>
  <c r="O22" i="1"/>
  <c r="N40" i="1" s="1"/>
  <c r="N42" i="1" s="1"/>
  <c r="B58" i="1"/>
  <c r="B23" i="1"/>
  <c r="I58" i="1"/>
  <c r="I23" i="1"/>
  <c r="H23" i="1"/>
  <c r="I34" i="1"/>
  <c r="B43" i="1"/>
  <c r="I26" i="1"/>
  <c r="I35" i="1"/>
  <c r="B51" i="1"/>
  <c r="B35" i="1"/>
  <c r="B22" i="1"/>
  <c r="B39" i="1"/>
  <c r="B47" i="1"/>
  <c r="H50" i="1"/>
  <c r="H35" i="1"/>
  <c r="O41" i="1"/>
  <c r="C23" i="1"/>
  <c r="H31" i="1"/>
  <c r="J31" i="1" s="1"/>
  <c r="C47" i="1"/>
  <c r="I46" i="1"/>
  <c r="I51" i="1"/>
  <c r="H39" i="1"/>
  <c r="H42" i="1"/>
  <c r="H43" i="1"/>
  <c r="I47" i="1"/>
  <c r="J47" i="1" s="1"/>
  <c r="H46" i="1"/>
  <c r="J46" i="1" s="1"/>
  <c r="H51" i="1"/>
  <c r="J51" i="1" s="1"/>
  <c r="H22" i="1"/>
  <c r="H26" i="1"/>
  <c r="H30" i="1"/>
  <c r="H27" i="1"/>
  <c r="H34" i="1"/>
  <c r="I38" i="1"/>
  <c r="I39" i="1"/>
  <c r="I42" i="1"/>
  <c r="J23" i="1"/>
  <c r="K23" i="1" s="1"/>
  <c r="C22" i="1"/>
  <c r="C34" i="1"/>
  <c r="C35" i="1"/>
  <c r="J35" i="1" s="1"/>
  <c r="J22" i="1"/>
  <c r="J26" i="1"/>
  <c r="J30" i="1"/>
  <c r="J27" i="1"/>
  <c r="B34" i="1"/>
  <c r="C38" i="1"/>
  <c r="J38" i="1" s="1"/>
  <c r="C39" i="1"/>
  <c r="J39" i="1" s="1"/>
  <c r="C42" i="1"/>
  <c r="C43" i="1"/>
  <c r="J43" i="1" s="1"/>
  <c r="C50" i="1"/>
  <c r="J50" i="1" s="1"/>
  <c r="K47" i="1" l="1"/>
  <c r="J42" i="1"/>
  <c r="N41" i="1"/>
  <c r="O42" i="1" s="1"/>
  <c r="K43" i="1"/>
  <c r="K39" i="1"/>
  <c r="K51" i="1"/>
  <c r="J34" i="1"/>
  <c r="K35" i="1" s="1"/>
  <c r="K31" i="1"/>
  <c r="K27" i="1"/>
</calcChain>
</file>

<file path=xl/sharedStrings.xml><?xml version="1.0" encoding="utf-8"?>
<sst xmlns="http://schemas.openxmlformats.org/spreadsheetml/2006/main" count="192" uniqueCount="37">
  <si>
    <t>Варианты решений</t>
  </si>
  <si>
    <t>В1</t>
  </si>
  <si>
    <t>В2</t>
  </si>
  <si>
    <t>В3</t>
  </si>
  <si>
    <t>K1</t>
  </si>
  <si>
    <t>K2</t>
  </si>
  <si>
    <t>K3</t>
  </si>
  <si>
    <t>K4</t>
  </si>
  <si>
    <t>K5</t>
  </si>
  <si>
    <t>K6</t>
  </si>
  <si>
    <t>K7</t>
  </si>
  <si>
    <t>K8</t>
  </si>
  <si>
    <t>B1</t>
  </si>
  <si>
    <t>B2</t>
  </si>
  <si>
    <t>B3</t>
  </si>
  <si>
    <t>B4</t>
  </si>
  <si>
    <t>B5</t>
  </si>
  <si>
    <t>Значения критериев</t>
  </si>
  <si>
    <t>низкое</t>
  </si>
  <si>
    <t>среднее</t>
  </si>
  <si>
    <t>очень высокое</t>
  </si>
  <si>
    <t>высокое</t>
  </si>
  <si>
    <t>Варианты</t>
  </si>
  <si>
    <t>очень низкое</t>
  </si>
  <si>
    <t>Критерий</t>
  </si>
  <si>
    <t>Число</t>
  </si>
  <si>
    <t>+</t>
  </si>
  <si>
    <t>Ошибка выбора</t>
  </si>
  <si>
    <t>Множество Парето</t>
  </si>
  <si>
    <t>B2,B5</t>
  </si>
  <si>
    <t>B1,B2</t>
  </si>
  <si>
    <t>B1,B2,B3</t>
  </si>
  <si>
    <t>Максимальный балл</t>
  </si>
  <si>
    <t>Результат сравнения</t>
  </si>
  <si>
    <t>Аддитивная свертка</t>
  </si>
  <si>
    <t>В4</t>
  </si>
  <si>
    <t>Несравнимы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</si>
</sst>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вариантов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>
        <c:manualLayout>
          <c:layoutTarget val="inner"/>
          <c:xMode val="edge"/>
          <c:yMode val="edge"/>
          <c:x val="0.31831462101232427"/>
          <c:y val="0.22232207998101586"/>
          <c:w val="0.36337097771529353"/>
          <c:h val="0.59637237439110113"/>
        </c:manualLayout>
      </c:layout>
      <c:radarChart>
        <c:radarStyle val="marker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8"/>
              <c:pt idx="0">
                <c:v>K1</c:v>
              </c:pt>
              <c:pt idx="1">
                <c:v>K2</c:v>
              </c:pt>
              <c:pt idx="2">
                <c:v>K3</c:v>
              </c:pt>
              <c:pt idx="3">
                <c:v>K4</c:v>
              </c:pt>
              <c:pt idx="4">
                <c:v>K5</c:v>
              </c:pt>
              <c:pt idx="5">
                <c:v>K6</c:v>
              </c:pt>
              <c:pt idx="6">
                <c:v>K7</c:v>
              </c:pt>
              <c:pt idx="7">
                <c:v>K8</c:v>
              </c:pt>
            </c:strLit>
          </c:cat>
          <c:val>
            <c:numRef>
              <c:f>Sheet1!$B$12:$I$12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8-3540-AE8D-5A658918FFB9}"/>
            </c:ext>
          </c:extLst>
        </c:ser>
        <c:ser>
          <c:idx val="1"/>
          <c:order val="1"/>
          <c:tx>
            <c:strRef>
              <c:f>Sheet1!$A$13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8"/>
              <c:pt idx="0">
                <c:v>K1</c:v>
              </c:pt>
              <c:pt idx="1">
                <c:v>K2</c:v>
              </c:pt>
              <c:pt idx="2">
                <c:v>K3</c:v>
              </c:pt>
              <c:pt idx="3">
                <c:v>K4</c:v>
              </c:pt>
              <c:pt idx="4">
                <c:v>K5</c:v>
              </c:pt>
              <c:pt idx="5">
                <c:v>K6</c:v>
              </c:pt>
              <c:pt idx="6">
                <c:v>K7</c:v>
              </c:pt>
              <c:pt idx="7">
                <c:v>K8</c:v>
              </c:pt>
            </c:strLit>
          </c:cat>
          <c:val>
            <c:numRef>
              <c:f>Sheet1!$B$13:$I$13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88-3540-AE8D-5A658918FFB9}"/>
            </c:ext>
          </c:extLst>
        </c:ser>
        <c:ser>
          <c:idx val="2"/>
          <c:order val="2"/>
          <c:tx>
            <c:strRef>
              <c:f>Sheet1!$A$14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/>
              </a:solidFill>
            </a:ln>
            <a:effectLst>
              <a:glow rad="76200">
                <a:schemeClr val="accent3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8"/>
              <c:pt idx="0">
                <c:v>K1</c:v>
              </c:pt>
              <c:pt idx="1">
                <c:v>K2</c:v>
              </c:pt>
              <c:pt idx="2">
                <c:v>K3</c:v>
              </c:pt>
              <c:pt idx="3">
                <c:v>K4</c:v>
              </c:pt>
              <c:pt idx="4">
                <c:v>K5</c:v>
              </c:pt>
              <c:pt idx="5">
                <c:v>K6</c:v>
              </c:pt>
              <c:pt idx="6">
                <c:v>K7</c:v>
              </c:pt>
              <c:pt idx="7">
                <c:v>K8</c:v>
              </c:pt>
            </c:strLit>
          </c:cat>
          <c:val>
            <c:numRef>
              <c:f>Sheet1!$B$14:$I$14</c:f>
              <c:numCache>
                <c:formatCode>General</c:formatCode>
                <c:ptCount val="8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88-3540-AE8D-5A658918FFB9}"/>
            </c:ext>
          </c:extLst>
        </c:ser>
        <c:ser>
          <c:idx val="3"/>
          <c:order val="3"/>
          <c:tx>
            <c:strRef>
              <c:f>Sheet1!$A$16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4"/>
              </a:solidFill>
            </a:ln>
            <a:effectLst>
              <a:glow rad="76200">
                <a:schemeClr val="accent4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8"/>
              <c:pt idx="0">
                <c:v>K1</c:v>
              </c:pt>
              <c:pt idx="1">
                <c:v>K2</c:v>
              </c:pt>
              <c:pt idx="2">
                <c:v>K3</c:v>
              </c:pt>
              <c:pt idx="3">
                <c:v>K4</c:v>
              </c:pt>
              <c:pt idx="4">
                <c:v>K5</c:v>
              </c:pt>
              <c:pt idx="5">
                <c:v>K6</c:v>
              </c:pt>
              <c:pt idx="6">
                <c:v>K7</c:v>
              </c:pt>
              <c:pt idx="7">
                <c:v>K8</c:v>
              </c:pt>
            </c:strLit>
          </c:cat>
          <c:val>
            <c:numRef>
              <c:f>Sheet1!$B$16:$I$16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88-3540-AE8D-5A658918F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037567"/>
        <c:axId val="1195222207"/>
      </c:radarChart>
      <c:catAx>
        <c:axId val="118203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 flip="none" rotWithShape="1">
                  <a:gsLst>
                    <a:gs pos="0">
                      <a:schemeClr val="accent6">
                        <a:lumMod val="5000"/>
                        <a:lumOff val="95000"/>
                      </a:schemeClr>
                    </a:gs>
                    <a:gs pos="74000">
                      <a:schemeClr val="accent6">
                        <a:lumMod val="45000"/>
                        <a:lumOff val="55000"/>
                      </a:schemeClr>
                    </a:gs>
                    <a:gs pos="83000">
                      <a:schemeClr val="accent6">
                        <a:lumMod val="45000"/>
                        <a:lumOff val="55000"/>
                      </a:schemeClr>
                    </a:gs>
                    <a:gs pos="100000">
                      <a:schemeClr val="accent6">
                        <a:lumMod val="30000"/>
                        <a:lumOff val="70000"/>
                      </a:schemeClr>
                    </a:gs>
                  </a:gsLst>
                  <a:lin ang="5400000" scaled="1"/>
                  <a:tileRect/>
                </a:gra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195222207"/>
        <c:crosses val="autoZero"/>
        <c:auto val="1"/>
        <c:lblAlgn val="ctr"/>
        <c:lblOffset val="100"/>
        <c:noMultiLvlLbl val="0"/>
      </c:catAx>
      <c:valAx>
        <c:axId val="1195222207"/>
        <c:scaling>
          <c:orientation val="minMax"/>
        </c:scaling>
        <c:delete val="1"/>
        <c:axPos val="l"/>
        <c:majorGridlines>
          <c:spPr>
            <a:ln w="1587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1820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533803</xdr:colOff>
      <xdr:row>24</xdr:row>
      <xdr:rowOff>92477</xdr:rowOff>
    </xdr:from>
    <xdr:to>
      <xdr:col>16</xdr:col>
      <xdr:colOff>541977</xdr:colOff>
      <xdr:row>35</xdr:row>
      <xdr:rowOff>147948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05A616-EF70-E21D-6192-8E2A21EB5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15DC-DEE8-B44C-A1D1-7F06204D0C6B}">
  <dimension ref="A1:O66"/>
  <sheetViews>
    <sheetView tabSelected="1" topLeftCell="A32" zoomScale="111" zoomScaleNormal="94" workbookViewId="0">
      <selection activeCell="J51" sqref="J51"/>
    </sheetView>
  </sheetViews>
  <sheetFormatPr baseColWidth="10" defaultRowHeight="16" x14ac:dyDescent="0.2"/>
  <cols>
    <col min="1" max="1" width="24.5" bestFit="1" customWidth="1"/>
    <col min="3" max="3" width="16.83203125" bestFit="1" customWidth="1"/>
    <col min="9" max="9" width="16.83203125" bestFit="1" customWidth="1"/>
    <col min="12" max="12" width="17.6640625" bestFit="1" customWidth="1"/>
    <col min="13" max="13" width="8" bestFit="1" customWidth="1"/>
    <col min="14" max="14" width="23" bestFit="1" customWidth="1"/>
    <col min="15" max="15" width="23.6640625" bestFit="1" customWidth="1"/>
  </cols>
  <sheetData>
    <row r="1" spans="1:13" ht="20" thickBot="1" x14ac:dyDescent="0.3">
      <c r="A1" s="17" t="s">
        <v>0</v>
      </c>
      <c r="B1" s="18" t="s">
        <v>17</v>
      </c>
      <c r="C1" s="19"/>
      <c r="D1" s="19"/>
      <c r="E1" s="19"/>
      <c r="F1" s="19"/>
      <c r="G1" s="19"/>
      <c r="H1" s="19"/>
      <c r="I1" s="20"/>
      <c r="L1" s="10" t="s">
        <v>24</v>
      </c>
      <c r="M1" s="10" t="s">
        <v>25</v>
      </c>
    </row>
    <row r="2" spans="1:13" ht="19" thickBot="1" x14ac:dyDescent="0.25">
      <c r="A2" s="17"/>
      <c r="B2" s="10" t="s">
        <v>4</v>
      </c>
      <c r="C2" s="7" t="s">
        <v>5</v>
      </c>
      <c r="D2" s="10" t="s">
        <v>6</v>
      </c>
      <c r="E2" s="10" t="s">
        <v>7</v>
      </c>
      <c r="F2" s="8" t="s">
        <v>8</v>
      </c>
      <c r="G2" s="10" t="s">
        <v>9</v>
      </c>
      <c r="H2" s="10" t="s">
        <v>10</v>
      </c>
      <c r="I2" s="9" t="s">
        <v>11</v>
      </c>
      <c r="L2" s="10" t="s">
        <v>23</v>
      </c>
      <c r="M2" s="11">
        <v>1</v>
      </c>
    </row>
    <row r="3" spans="1:13" ht="19" thickBot="1" x14ac:dyDescent="0.25">
      <c r="A3" s="10" t="s">
        <v>12</v>
      </c>
      <c r="B3" s="10" t="s">
        <v>18</v>
      </c>
      <c r="C3" s="10" t="s">
        <v>19</v>
      </c>
      <c r="D3" s="10">
        <v>4</v>
      </c>
      <c r="E3" s="10">
        <v>3</v>
      </c>
      <c r="F3" s="10">
        <v>3</v>
      </c>
      <c r="G3" s="10">
        <v>5</v>
      </c>
      <c r="H3" s="10" t="s">
        <v>19</v>
      </c>
      <c r="I3" s="10" t="s">
        <v>18</v>
      </c>
      <c r="L3" s="10" t="s">
        <v>18</v>
      </c>
      <c r="M3" s="11">
        <v>2</v>
      </c>
    </row>
    <row r="4" spans="1:13" ht="19" thickBot="1" x14ac:dyDescent="0.25">
      <c r="A4" s="10" t="s">
        <v>13</v>
      </c>
      <c r="B4" s="10" t="s">
        <v>19</v>
      </c>
      <c r="C4" s="10" t="s">
        <v>18</v>
      </c>
      <c r="D4" s="10">
        <v>2</v>
      </c>
      <c r="E4" s="10">
        <v>3</v>
      </c>
      <c r="F4" s="10">
        <v>4</v>
      </c>
      <c r="G4" s="10">
        <v>5</v>
      </c>
      <c r="H4" s="10" t="s">
        <v>19</v>
      </c>
      <c r="I4" s="10" t="s">
        <v>19</v>
      </c>
      <c r="L4" s="10" t="s">
        <v>19</v>
      </c>
      <c r="M4" s="11">
        <v>3</v>
      </c>
    </row>
    <row r="5" spans="1:13" ht="19" thickBot="1" x14ac:dyDescent="0.25">
      <c r="A5" s="10" t="s">
        <v>14</v>
      </c>
      <c r="B5" s="10" t="s">
        <v>18</v>
      </c>
      <c r="C5" s="10" t="s">
        <v>20</v>
      </c>
      <c r="D5" s="10">
        <v>5</v>
      </c>
      <c r="E5" s="10">
        <v>4</v>
      </c>
      <c r="F5" s="10">
        <v>1</v>
      </c>
      <c r="G5" s="10">
        <v>4</v>
      </c>
      <c r="H5" s="10" t="s">
        <v>19</v>
      </c>
      <c r="I5" s="10" t="s">
        <v>21</v>
      </c>
      <c r="L5" s="10" t="s">
        <v>21</v>
      </c>
      <c r="M5" s="11">
        <v>4</v>
      </c>
    </row>
    <row r="6" spans="1:13" ht="19" thickBot="1" x14ac:dyDescent="0.25">
      <c r="A6" s="10" t="s">
        <v>15</v>
      </c>
      <c r="B6" s="10" t="s">
        <v>18</v>
      </c>
      <c r="C6" s="10" t="s">
        <v>18</v>
      </c>
      <c r="D6" s="10">
        <v>2</v>
      </c>
      <c r="E6" s="10">
        <v>3</v>
      </c>
      <c r="F6" s="10">
        <v>4</v>
      </c>
      <c r="G6" s="10">
        <v>2</v>
      </c>
      <c r="H6" s="10" t="s">
        <v>19</v>
      </c>
      <c r="I6" s="10" t="s">
        <v>19</v>
      </c>
      <c r="L6" s="10" t="s">
        <v>20</v>
      </c>
      <c r="M6" s="11">
        <v>5</v>
      </c>
    </row>
    <row r="7" spans="1:13" ht="19" thickBot="1" x14ac:dyDescent="0.25">
      <c r="A7" s="10" t="s">
        <v>16</v>
      </c>
      <c r="B7" s="10" t="s">
        <v>19</v>
      </c>
      <c r="C7" s="10" t="s">
        <v>18</v>
      </c>
      <c r="D7" s="10">
        <v>1</v>
      </c>
      <c r="E7" s="10">
        <v>3</v>
      </c>
      <c r="F7" s="10">
        <v>2</v>
      </c>
      <c r="G7" s="10">
        <v>3</v>
      </c>
      <c r="H7" s="10" t="s">
        <v>18</v>
      </c>
      <c r="I7" s="10" t="s">
        <v>20</v>
      </c>
    </row>
    <row r="9" spans="1:13" ht="17" thickBot="1" x14ac:dyDescent="0.25"/>
    <row r="10" spans="1:13" ht="20" thickBot="1" x14ac:dyDescent="0.3">
      <c r="A10" s="21" t="s">
        <v>0</v>
      </c>
      <c r="B10" s="23" t="s">
        <v>17</v>
      </c>
      <c r="C10" s="24"/>
      <c r="D10" s="24"/>
      <c r="E10" s="24"/>
      <c r="F10" s="24"/>
      <c r="G10" s="24"/>
      <c r="H10" s="24"/>
      <c r="I10" s="25"/>
    </row>
    <row r="11" spans="1:13" ht="19" thickBot="1" x14ac:dyDescent="0.25">
      <c r="A11" s="22"/>
      <c r="B11" s="10" t="s">
        <v>4</v>
      </c>
      <c r="C11" s="8" t="s">
        <v>5</v>
      </c>
      <c r="D11" s="10" t="s">
        <v>6</v>
      </c>
      <c r="E11" s="8" t="s">
        <v>7</v>
      </c>
      <c r="F11" s="10" t="s">
        <v>8</v>
      </c>
      <c r="G11" s="10" t="s">
        <v>9</v>
      </c>
      <c r="H11" s="10" t="s">
        <v>10</v>
      </c>
      <c r="I11" s="10" t="s">
        <v>11</v>
      </c>
    </row>
    <row r="12" spans="1:13" ht="19" thickBot="1" x14ac:dyDescent="0.25">
      <c r="A12" s="12" t="s">
        <v>12</v>
      </c>
      <c r="B12" s="12">
        <f>VLOOKUP(B3,$L$2:$M$6,2,0)</f>
        <v>2</v>
      </c>
      <c r="C12" s="12">
        <f>VLOOKUP(C3,$L$2:$M$6,2,0)</f>
        <v>3</v>
      </c>
      <c r="D12" s="12">
        <v>4</v>
      </c>
      <c r="E12" s="12">
        <v>3</v>
      </c>
      <c r="F12" s="12">
        <v>3</v>
      </c>
      <c r="G12" s="12">
        <v>5</v>
      </c>
      <c r="H12" s="12">
        <f>VLOOKUP(H3,$L$2:$M$6,2,0)</f>
        <v>3</v>
      </c>
      <c r="I12" s="12">
        <f>VLOOKUP(I3,$L$2:$M$6,2,0)</f>
        <v>2</v>
      </c>
    </row>
    <row r="13" spans="1:13" ht="19" thickBot="1" x14ac:dyDescent="0.25">
      <c r="A13" s="10" t="s">
        <v>13</v>
      </c>
      <c r="B13" s="10">
        <f t="shared" ref="B13:C16" si="0">VLOOKUP(B4,$L$2:$M$6,2,0)</f>
        <v>3</v>
      </c>
      <c r="C13" s="10">
        <f t="shared" si="0"/>
        <v>2</v>
      </c>
      <c r="D13" s="10">
        <v>2</v>
      </c>
      <c r="E13" s="10">
        <v>3</v>
      </c>
      <c r="F13" s="10">
        <v>4</v>
      </c>
      <c r="G13" s="10">
        <v>5</v>
      </c>
      <c r="H13" s="10">
        <f t="shared" ref="H13:I16" si="1">VLOOKUP(H4,$L$2:$M$6,2,0)</f>
        <v>3</v>
      </c>
      <c r="I13" s="10">
        <f t="shared" si="1"/>
        <v>3</v>
      </c>
    </row>
    <row r="14" spans="1:13" ht="19" thickBot="1" x14ac:dyDescent="0.25">
      <c r="A14" s="10" t="s">
        <v>14</v>
      </c>
      <c r="B14" s="10">
        <f t="shared" si="0"/>
        <v>2</v>
      </c>
      <c r="C14" s="10">
        <f t="shared" si="0"/>
        <v>5</v>
      </c>
      <c r="D14" s="10">
        <v>5</v>
      </c>
      <c r="E14" s="10">
        <v>4</v>
      </c>
      <c r="F14" s="10">
        <v>1</v>
      </c>
      <c r="G14" s="10">
        <v>4</v>
      </c>
      <c r="H14" s="10">
        <f t="shared" si="1"/>
        <v>3</v>
      </c>
      <c r="I14" s="10">
        <f t="shared" si="1"/>
        <v>4</v>
      </c>
    </row>
    <row r="15" spans="1:13" ht="19" thickBot="1" x14ac:dyDescent="0.25">
      <c r="A15" s="10" t="s">
        <v>15</v>
      </c>
      <c r="B15" s="10">
        <f t="shared" si="0"/>
        <v>2</v>
      </c>
      <c r="C15" s="10">
        <f t="shared" si="0"/>
        <v>2</v>
      </c>
      <c r="D15" s="10">
        <v>2</v>
      </c>
      <c r="E15" s="10">
        <v>3</v>
      </c>
      <c r="F15" s="10">
        <v>4</v>
      </c>
      <c r="G15" s="10">
        <v>2</v>
      </c>
      <c r="H15" s="10">
        <f t="shared" si="1"/>
        <v>3</v>
      </c>
      <c r="I15" s="10">
        <f t="shared" si="1"/>
        <v>3</v>
      </c>
    </row>
    <row r="16" spans="1:13" ht="19" thickBot="1" x14ac:dyDescent="0.25">
      <c r="A16" s="10" t="s">
        <v>16</v>
      </c>
      <c r="B16" s="10">
        <f t="shared" si="0"/>
        <v>3</v>
      </c>
      <c r="C16" s="10">
        <f t="shared" si="0"/>
        <v>2</v>
      </c>
      <c r="D16" s="10">
        <v>1</v>
      </c>
      <c r="E16" s="10">
        <v>3</v>
      </c>
      <c r="F16" s="10">
        <v>2</v>
      </c>
      <c r="G16" s="10">
        <v>3</v>
      </c>
      <c r="H16" s="10">
        <f t="shared" si="1"/>
        <v>2</v>
      </c>
      <c r="I16" s="10">
        <f t="shared" si="1"/>
        <v>5</v>
      </c>
    </row>
    <row r="19" spans="1:15" ht="17" thickBot="1" x14ac:dyDescent="0.25">
      <c r="N19" s="4"/>
    </row>
    <row r="20" spans="1:15" ht="19" thickBot="1" x14ac:dyDescent="0.25">
      <c r="K20" s="26" t="s">
        <v>33</v>
      </c>
      <c r="L20" s="26"/>
      <c r="M20" s="5"/>
      <c r="N20" s="6" t="s">
        <v>28</v>
      </c>
      <c r="O20" s="10" t="s">
        <v>34</v>
      </c>
    </row>
    <row r="21" spans="1:15" ht="20" thickBot="1" x14ac:dyDescent="0.3">
      <c r="A21" s="10" t="s">
        <v>22</v>
      </c>
      <c r="B21" s="10" t="s">
        <v>4</v>
      </c>
      <c r="C21" s="10" t="s">
        <v>5</v>
      </c>
      <c r="D21" s="10" t="s">
        <v>6</v>
      </c>
      <c r="E21" s="10" t="s">
        <v>7</v>
      </c>
      <c r="F21" s="10" t="s">
        <v>8</v>
      </c>
      <c r="G21" s="10" t="s">
        <v>9</v>
      </c>
      <c r="H21" s="10" t="s">
        <v>10</v>
      </c>
      <c r="I21" s="10" t="s">
        <v>11</v>
      </c>
      <c r="J21" s="13" t="s">
        <v>26</v>
      </c>
      <c r="K21" s="3"/>
      <c r="L21" s="3"/>
      <c r="M21" s="5"/>
      <c r="N21" s="9" t="s">
        <v>12</v>
      </c>
      <c r="O21" s="11">
        <f>AVERAGE(B12:I12)</f>
        <v>3.125</v>
      </c>
    </row>
    <row r="22" spans="1:15" ht="20" thickBot="1" x14ac:dyDescent="0.3">
      <c r="A22" s="10" t="s">
        <v>1</v>
      </c>
      <c r="B22" s="10" t="str">
        <f>IF(B12&gt;B13,"+","")</f>
        <v/>
      </c>
      <c r="C22" s="10" t="str">
        <f t="shared" ref="C22:I22" si="2">IF(C12&gt;C13,"+","")</f>
        <v>+</v>
      </c>
      <c r="D22" s="10" t="str">
        <f t="shared" si="2"/>
        <v>+</v>
      </c>
      <c r="E22" s="10" t="str">
        <f t="shared" si="2"/>
        <v/>
      </c>
      <c r="F22" s="10" t="str">
        <f t="shared" si="2"/>
        <v/>
      </c>
      <c r="G22" s="10" t="str">
        <f t="shared" si="2"/>
        <v/>
      </c>
      <c r="H22" s="10" t="str">
        <f t="shared" si="2"/>
        <v/>
      </c>
      <c r="I22" s="10" t="str">
        <f t="shared" si="2"/>
        <v/>
      </c>
      <c r="J22" s="10">
        <f>COUNTIF(B22:I22,"+")</f>
        <v>2</v>
      </c>
      <c r="K22" s="3"/>
      <c r="L22" s="3"/>
      <c r="M22" s="5"/>
      <c r="N22" s="9" t="s">
        <v>13</v>
      </c>
      <c r="O22" s="11">
        <f t="shared" ref="O22:O23" si="3">AVERAGE(B13:I13)</f>
        <v>3.125</v>
      </c>
    </row>
    <row r="23" spans="1:15" ht="19" thickBot="1" x14ac:dyDescent="0.25">
      <c r="A23" s="10" t="s">
        <v>2</v>
      </c>
      <c r="B23" s="10" t="str">
        <f>IF(B13&gt;B12,"+","")</f>
        <v>+</v>
      </c>
      <c r="C23" s="10" t="str">
        <f t="shared" ref="C23:I23" si="4">IF(C13&gt;C12,"+","")</f>
        <v/>
      </c>
      <c r="D23" s="10" t="str">
        <f t="shared" si="4"/>
        <v/>
      </c>
      <c r="E23" s="10" t="str">
        <f t="shared" si="4"/>
        <v/>
      </c>
      <c r="F23" s="10" t="str">
        <f t="shared" si="4"/>
        <v>+</v>
      </c>
      <c r="G23" s="10" t="str">
        <f t="shared" si="4"/>
        <v/>
      </c>
      <c r="H23" s="10" t="str">
        <f t="shared" si="4"/>
        <v/>
      </c>
      <c r="I23" s="10" t="str">
        <f t="shared" si="4"/>
        <v>+</v>
      </c>
      <c r="J23" s="10">
        <f>COUNTIF(B23:I23,"+")</f>
        <v>3</v>
      </c>
      <c r="K23" s="16" t="str">
        <f>IF(J22*J23&gt;0,"Несравнимы",MIN(J22,J23))</f>
        <v>Несравнимы</v>
      </c>
      <c r="L23" s="16"/>
      <c r="M23" s="5"/>
      <c r="N23" s="9" t="s">
        <v>14</v>
      </c>
      <c r="O23" s="11">
        <f>AVERAGE(B14:I14)</f>
        <v>3.5</v>
      </c>
    </row>
    <row r="24" spans="1:15" ht="20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1"/>
      <c r="L24" s="1"/>
      <c r="M24" s="5"/>
      <c r="N24" s="9" t="s">
        <v>16</v>
      </c>
      <c r="O24" s="11">
        <f>AVERAGE(B16:I16)</f>
        <v>2.625</v>
      </c>
    </row>
    <row r="25" spans="1:15" ht="20" thickBot="1" x14ac:dyDescent="0.3">
      <c r="A25" s="10" t="s">
        <v>22</v>
      </c>
      <c r="B25" s="10" t="s">
        <v>4</v>
      </c>
      <c r="C25" s="10" t="s">
        <v>5</v>
      </c>
      <c r="D25" s="10" t="s">
        <v>6</v>
      </c>
      <c r="E25" s="10" t="s">
        <v>7</v>
      </c>
      <c r="F25" s="10" t="s">
        <v>8</v>
      </c>
      <c r="G25" s="10" t="s">
        <v>9</v>
      </c>
      <c r="H25" s="10" t="s">
        <v>10</v>
      </c>
      <c r="I25" s="10" t="s">
        <v>11</v>
      </c>
      <c r="J25" s="13" t="s">
        <v>26</v>
      </c>
      <c r="K25" s="1"/>
      <c r="L25" s="1"/>
      <c r="N25" s="2"/>
    </row>
    <row r="26" spans="1:15" ht="20" thickBot="1" x14ac:dyDescent="0.3">
      <c r="A26" s="10" t="s">
        <v>1</v>
      </c>
      <c r="B26" s="13" t="str">
        <f>IF(B12&gt;B14,"+","")</f>
        <v/>
      </c>
      <c r="C26" s="13" t="str">
        <f t="shared" ref="C26:I26" si="5">IF(C12&gt;C14,"+","")</f>
        <v/>
      </c>
      <c r="D26" s="13" t="str">
        <f t="shared" si="5"/>
        <v/>
      </c>
      <c r="E26" s="13" t="str">
        <f t="shared" si="5"/>
        <v/>
      </c>
      <c r="F26" s="13" t="str">
        <f t="shared" si="5"/>
        <v>+</v>
      </c>
      <c r="G26" s="13" t="str">
        <f t="shared" si="5"/>
        <v>+</v>
      </c>
      <c r="H26" s="13" t="str">
        <f t="shared" si="5"/>
        <v/>
      </c>
      <c r="I26" s="13" t="str">
        <f t="shared" si="5"/>
        <v/>
      </c>
      <c r="J26" s="10">
        <f>COUNTIF(B26:I26,"+")</f>
        <v>2</v>
      </c>
      <c r="K26" s="1"/>
      <c r="L26" s="1"/>
    </row>
    <row r="27" spans="1:15" ht="20" thickBot="1" x14ac:dyDescent="0.3">
      <c r="A27" s="10" t="s">
        <v>3</v>
      </c>
      <c r="B27" s="13" t="str">
        <f>IF(B14&gt;B12,"+","")</f>
        <v/>
      </c>
      <c r="C27" s="13" t="str">
        <f t="shared" ref="C27:I27" si="6">IF(C14&gt;C12,"+","")</f>
        <v>+</v>
      </c>
      <c r="D27" s="13" t="str">
        <f t="shared" si="6"/>
        <v>+</v>
      </c>
      <c r="E27" s="13" t="str">
        <f t="shared" si="6"/>
        <v>+</v>
      </c>
      <c r="F27" s="13" t="str">
        <f t="shared" si="6"/>
        <v/>
      </c>
      <c r="G27" s="13" t="str">
        <f t="shared" si="6"/>
        <v/>
      </c>
      <c r="H27" s="13" t="str">
        <f t="shared" si="6"/>
        <v/>
      </c>
      <c r="I27" s="13" t="str">
        <f t="shared" si="6"/>
        <v>+</v>
      </c>
      <c r="J27" s="10">
        <f>COUNTIF(B27:I27,"+")</f>
        <v>4</v>
      </c>
      <c r="K27" s="16" t="str">
        <f>IF(J26*J27&gt;0,"Несравнимы",MIN(J26,J27))</f>
        <v>Несравнимы</v>
      </c>
      <c r="L27" s="16"/>
    </row>
    <row r="28" spans="1:15" ht="20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1"/>
      <c r="L28" s="1"/>
    </row>
    <row r="29" spans="1:15" ht="20" thickBot="1" x14ac:dyDescent="0.3">
      <c r="A29" s="10" t="s">
        <v>22</v>
      </c>
      <c r="B29" s="10" t="s">
        <v>4</v>
      </c>
      <c r="C29" s="10" t="s">
        <v>5</v>
      </c>
      <c r="D29" s="10" t="s">
        <v>6</v>
      </c>
      <c r="E29" s="10" t="s">
        <v>7</v>
      </c>
      <c r="F29" s="10" t="s">
        <v>8</v>
      </c>
      <c r="G29" s="10" t="s">
        <v>9</v>
      </c>
      <c r="H29" s="10" t="s">
        <v>10</v>
      </c>
      <c r="I29" s="10" t="s">
        <v>11</v>
      </c>
      <c r="J29" s="13" t="s">
        <v>26</v>
      </c>
      <c r="K29" s="1"/>
      <c r="L29" s="1"/>
    </row>
    <row r="30" spans="1:15" ht="19" thickBot="1" x14ac:dyDescent="0.25">
      <c r="A30" s="10" t="s">
        <v>1</v>
      </c>
      <c r="B30" s="10" t="str">
        <f>IF(B12&gt;B15,"+","")</f>
        <v/>
      </c>
      <c r="C30" s="10" t="str">
        <f t="shared" ref="C30:I30" si="7">IF(C12&gt;C15,"+","")</f>
        <v>+</v>
      </c>
      <c r="D30" s="10" t="str">
        <f t="shared" si="7"/>
        <v>+</v>
      </c>
      <c r="E30" s="10" t="str">
        <f t="shared" si="7"/>
        <v/>
      </c>
      <c r="F30" s="10" t="str">
        <f t="shared" si="7"/>
        <v/>
      </c>
      <c r="G30" s="10" t="str">
        <f t="shared" si="7"/>
        <v>+</v>
      </c>
      <c r="H30" s="10" t="str">
        <f t="shared" si="7"/>
        <v/>
      </c>
      <c r="I30" s="10" t="str">
        <f t="shared" si="7"/>
        <v/>
      </c>
      <c r="J30" s="10">
        <f>COUNTIF(B30:I30,"+")</f>
        <v>3</v>
      </c>
      <c r="K30" s="1"/>
      <c r="L30" s="1"/>
    </row>
    <row r="31" spans="1:15" ht="19" thickBot="1" x14ac:dyDescent="0.25">
      <c r="A31" s="10" t="s">
        <v>15</v>
      </c>
      <c r="B31" s="10" t="str">
        <f>IF(B15&gt;B12,"+","")</f>
        <v/>
      </c>
      <c r="C31" s="10" t="str">
        <f t="shared" ref="C31:H31" si="8">IF(C15&gt;C12,"+","")</f>
        <v/>
      </c>
      <c r="D31" s="10" t="str">
        <f t="shared" si="8"/>
        <v/>
      </c>
      <c r="E31" s="10" t="str">
        <f t="shared" si="8"/>
        <v/>
      </c>
      <c r="F31" s="10" t="str">
        <f t="shared" si="8"/>
        <v>+</v>
      </c>
      <c r="G31" s="10" t="str">
        <f t="shared" si="8"/>
        <v/>
      </c>
      <c r="H31" s="10" t="str">
        <f t="shared" si="8"/>
        <v/>
      </c>
      <c r="I31" s="10" t="str">
        <f>IF(I15&gt;I12,"+","")</f>
        <v>+</v>
      </c>
      <c r="J31" s="10">
        <f>COUNTIF(B31:I31,"+")</f>
        <v>2</v>
      </c>
      <c r="K31" s="16" t="str">
        <f>IF(J30*J31&gt;0,"Несравнимы",MIN(J30,J31))</f>
        <v>Несравнимы</v>
      </c>
      <c r="L31" s="16"/>
    </row>
    <row r="32" spans="1:15" ht="20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1"/>
      <c r="L32" s="1"/>
    </row>
    <row r="33" spans="1:15" ht="20" thickBot="1" x14ac:dyDescent="0.3">
      <c r="A33" s="10" t="s">
        <v>22</v>
      </c>
      <c r="B33" s="10" t="s">
        <v>4</v>
      </c>
      <c r="C33" s="10" t="s">
        <v>5</v>
      </c>
      <c r="D33" s="10" t="s">
        <v>6</v>
      </c>
      <c r="E33" s="10" t="s">
        <v>7</v>
      </c>
      <c r="F33" s="10" t="s">
        <v>8</v>
      </c>
      <c r="G33" s="10" t="s">
        <v>9</v>
      </c>
      <c r="H33" s="10" t="s">
        <v>10</v>
      </c>
      <c r="I33" s="10" t="s">
        <v>11</v>
      </c>
      <c r="J33" s="13" t="s">
        <v>26</v>
      </c>
      <c r="K33" s="1"/>
      <c r="L33" s="1"/>
    </row>
    <row r="34" spans="1:15" ht="19" thickBot="1" x14ac:dyDescent="0.25">
      <c r="A34" s="10" t="s">
        <v>1</v>
      </c>
      <c r="B34" s="11" t="str">
        <f>IF(B12&gt;B16,"+","")</f>
        <v/>
      </c>
      <c r="C34" s="11" t="str">
        <f t="shared" ref="C34:I34" si="9">IF(C12&gt;C16,"+","")</f>
        <v>+</v>
      </c>
      <c r="D34" s="11" t="str">
        <f t="shared" si="9"/>
        <v>+</v>
      </c>
      <c r="E34" s="11" t="str">
        <f t="shared" si="9"/>
        <v/>
      </c>
      <c r="F34" s="11" t="str">
        <f t="shared" si="9"/>
        <v>+</v>
      </c>
      <c r="G34" s="11" t="str">
        <f t="shared" si="9"/>
        <v>+</v>
      </c>
      <c r="H34" s="11" t="str">
        <f t="shared" si="9"/>
        <v>+</v>
      </c>
      <c r="I34" s="11" t="str">
        <f t="shared" si="9"/>
        <v/>
      </c>
      <c r="J34" s="10">
        <f>COUNTIF(B34:I34,"+")</f>
        <v>5</v>
      </c>
      <c r="K34" s="1"/>
      <c r="L34" s="1"/>
    </row>
    <row r="35" spans="1:15" ht="19" thickBot="1" x14ac:dyDescent="0.25">
      <c r="A35" s="10" t="s">
        <v>16</v>
      </c>
      <c r="B35" s="11" t="str">
        <f>IF(B16&gt;B12,"+","")</f>
        <v>+</v>
      </c>
      <c r="C35" s="11" t="str">
        <f t="shared" ref="C35:I35" si="10">IF(C16&gt;C12,"+","")</f>
        <v/>
      </c>
      <c r="D35" s="11" t="str">
        <f t="shared" si="10"/>
        <v/>
      </c>
      <c r="E35" s="11" t="str">
        <f t="shared" si="10"/>
        <v/>
      </c>
      <c r="F35" s="11" t="str">
        <f t="shared" si="10"/>
        <v/>
      </c>
      <c r="G35" s="11" t="str">
        <f t="shared" si="10"/>
        <v/>
      </c>
      <c r="H35" s="11" t="str">
        <f t="shared" si="10"/>
        <v/>
      </c>
      <c r="I35" s="11" t="str">
        <f t="shared" si="10"/>
        <v>+</v>
      </c>
      <c r="J35" s="10">
        <f>COUNTIF(B35:I35,"+")</f>
        <v>2</v>
      </c>
      <c r="K35" s="16" t="str">
        <f>IF(J34*J35&gt;0,"Несравнимы",MIN(J34,J35))</f>
        <v>Несравнимы</v>
      </c>
      <c r="L35" s="16"/>
    </row>
    <row r="36" spans="1:15" ht="20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1"/>
      <c r="L36" s="1"/>
    </row>
    <row r="37" spans="1:15" ht="20" thickBot="1" x14ac:dyDescent="0.3">
      <c r="A37" s="10" t="s">
        <v>22</v>
      </c>
      <c r="B37" s="10" t="s">
        <v>4</v>
      </c>
      <c r="C37" s="10" t="s">
        <v>5</v>
      </c>
      <c r="D37" s="10" t="s">
        <v>6</v>
      </c>
      <c r="E37" s="10" t="s">
        <v>7</v>
      </c>
      <c r="F37" s="10" t="s">
        <v>8</v>
      </c>
      <c r="G37" s="10" t="s">
        <v>9</v>
      </c>
      <c r="H37" s="10" t="s">
        <v>10</v>
      </c>
      <c r="I37" s="10" t="s">
        <v>11</v>
      </c>
      <c r="J37" s="13" t="s">
        <v>26</v>
      </c>
      <c r="K37" s="1"/>
      <c r="L37" s="1"/>
    </row>
    <row r="38" spans="1:15" ht="20" thickBot="1" x14ac:dyDescent="0.3">
      <c r="A38" s="10" t="s">
        <v>2</v>
      </c>
      <c r="B38" s="13" t="str">
        <f>IF(B13&gt;B14,"+","")</f>
        <v>+</v>
      </c>
      <c r="C38" s="13" t="str">
        <f t="shared" ref="C38:I38" si="11">IF(C13&gt;C14,"+","")</f>
        <v/>
      </c>
      <c r="D38" s="13" t="str">
        <f t="shared" si="11"/>
        <v/>
      </c>
      <c r="E38" s="13" t="str">
        <f t="shared" si="11"/>
        <v/>
      </c>
      <c r="F38" s="13" t="str">
        <f t="shared" si="11"/>
        <v>+</v>
      </c>
      <c r="G38" s="13" t="str">
        <f t="shared" si="11"/>
        <v>+</v>
      </c>
      <c r="H38" s="13" t="str">
        <f t="shared" si="11"/>
        <v/>
      </c>
      <c r="I38" s="13" t="str">
        <f t="shared" si="11"/>
        <v/>
      </c>
      <c r="J38" s="10">
        <f>COUNTIF(B38:I38,"+")</f>
        <v>3</v>
      </c>
      <c r="K38" s="1"/>
      <c r="L38" s="1"/>
    </row>
    <row r="39" spans="1:15" ht="20" thickBot="1" x14ac:dyDescent="0.3">
      <c r="A39" s="10" t="s">
        <v>14</v>
      </c>
      <c r="B39" s="13" t="str">
        <f>IF(B14&gt;B13,"+","")</f>
        <v/>
      </c>
      <c r="C39" s="13" t="str">
        <f t="shared" ref="C39:I39" si="12">IF(C14&gt;C13,"+","")</f>
        <v>+</v>
      </c>
      <c r="D39" s="13" t="str">
        <f t="shared" si="12"/>
        <v>+</v>
      </c>
      <c r="E39" s="13" t="str">
        <f t="shared" si="12"/>
        <v>+</v>
      </c>
      <c r="F39" s="13" t="str">
        <f t="shared" si="12"/>
        <v/>
      </c>
      <c r="G39" s="13" t="str">
        <f t="shared" si="12"/>
        <v/>
      </c>
      <c r="H39" s="13" t="str">
        <f t="shared" si="12"/>
        <v/>
      </c>
      <c r="I39" s="13" t="str">
        <f t="shared" si="12"/>
        <v>+</v>
      </c>
      <c r="J39" s="10">
        <f>COUNTIF(B39:I39,"+")</f>
        <v>4</v>
      </c>
      <c r="K39" s="16" t="str">
        <f>IF(J38*J39&gt;0,"Несравнимы",MIN(J38,J39))</f>
        <v>Несравнимы</v>
      </c>
      <c r="L39" s="16"/>
      <c r="N39" s="15" t="s">
        <v>27</v>
      </c>
      <c r="O39" s="15"/>
    </row>
    <row r="40" spans="1:15" ht="20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1"/>
      <c r="L40" s="1"/>
      <c r="N40" s="11">
        <f>MAX(O21:O24)-O22</f>
        <v>0.375</v>
      </c>
      <c r="O40" s="11">
        <f>ROUND(1.2/SQRT(8),2)</f>
        <v>0.42</v>
      </c>
    </row>
    <row r="41" spans="1:15" ht="20" thickBot="1" x14ac:dyDescent="0.3">
      <c r="A41" s="10" t="s">
        <v>22</v>
      </c>
      <c r="B41" s="10" t="s">
        <v>4</v>
      </c>
      <c r="C41" s="10" t="s">
        <v>5</v>
      </c>
      <c r="D41" s="10" t="s">
        <v>6</v>
      </c>
      <c r="E41" s="10" t="s">
        <v>7</v>
      </c>
      <c r="F41" s="10" t="s">
        <v>8</v>
      </c>
      <c r="G41" s="10" t="s">
        <v>9</v>
      </c>
      <c r="H41" s="10" t="s">
        <v>10</v>
      </c>
      <c r="I41" s="10" t="s">
        <v>11</v>
      </c>
      <c r="J41" s="13" t="s">
        <v>26</v>
      </c>
      <c r="K41" s="1"/>
      <c r="L41" s="1"/>
      <c r="N41" s="11">
        <f>MAX(O21:O24)-MIN(O21:O24)</f>
        <v>0.875</v>
      </c>
      <c r="O41" s="11">
        <f>O40</f>
        <v>0.42</v>
      </c>
    </row>
    <row r="42" spans="1:15" ht="20" thickBot="1" x14ac:dyDescent="0.3">
      <c r="A42" s="10" t="s">
        <v>2</v>
      </c>
      <c r="B42" s="13" t="str">
        <f>IF(B13&gt;B15,"+","")</f>
        <v>+</v>
      </c>
      <c r="C42" s="13" t="str">
        <f t="shared" ref="C42:I42" si="13">IF(C13&gt;C15,"+","")</f>
        <v/>
      </c>
      <c r="D42" s="13" t="str">
        <f t="shared" si="13"/>
        <v/>
      </c>
      <c r="E42" s="13" t="str">
        <f t="shared" si="13"/>
        <v/>
      </c>
      <c r="F42" s="13" t="str">
        <f t="shared" si="13"/>
        <v/>
      </c>
      <c r="G42" s="13" t="str">
        <f t="shared" si="13"/>
        <v>+</v>
      </c>
      <c r="H42" s="13" t="str">
        <f t="shared" si="13"/>
        <v/>
      </c>
      <c r="I42" s="13" t="str">
        <f t="shared" si="13"/>
        <v/>
      </c>
      <c r="J42" s="10">
        <f>COUNTIF(B42:I42,"+")</f>
        <v>2</v>
      </c>
      <c r="K42" s="1"/>
      <c r="L42" s="1"/>
      <c r="N42" s="11">
        <f>O40-N40</f>
        <v>4.4999999999999984E-2</v>
      </c>
      <c r="O42" s="11">
        <f>ABS(O41-N41)</f>
        <v>0.45500000000000002</v>
      </c>
    </row>
    <row r="43" spans="1:15" ht="20" thickBot="1" x14ac:dyDescent="0.3">
      <c r="A43" s="10" t="s">
        <v>15</v>
      </c>
      <c r="B43" s="13" t="str">
        <f>IF(B15&gt;B13,"+","")</f>
        <v/>
      </c>
      <c r="C43" s="13" t="str">
        <f t="shared" ref="C43:I43" si="14">IF(C15&gt;C13,"+","")</f>
        <v/>
      </c>
      <c r="D43" s="13" t="str">
        <f t="shared" si="14"/>
        <v/>
      </c>
      <c r="E43" s="13" t="str">
        <f t="shared" si="14"/>
        <v/>
      </c>
      <c r="F43" s="13" t="str">
        <f t="shared" si="14"/>
        <v/>
      </c>
      <c r="G43" s="13" t="str">
        <f t="shared" si="14"/>
        <v/>
      </c>
      <c r="H43" s="13" t="str">
        <f t="shared" si="14"/>
        <v/>
      </c>
      <c r="I43" s="13" t="str">
        <f t="shared" si="14"/>
        <v/>
      </c>
      <c r="J43" s="10">
        <f>COUNTIF(B43:I43,"+")</f>
        <v>0</v>
      </c>
      <c r="K43" s="16" t="str">
        <f>IF(J42*J43&gt;0,"Несравнимы","B4 исключаем")</f>
        <v>B4 исключаем</v>
      </c>
      <c r="L43" s="16"/>
    </row>
    <row r="44" spans="1:15" ht="20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1"/>
      <c r="L44" s="1"/>
    </row>
    <row r="45" spans="1:15" ht="20" thickBot="1" x14ac:dyDescent="0.3">
      <c r="A45" s="10" t="s">
        <v>22</v>
      </c>
      <c r="B45" s="10" t="s">
        <v>4</v>
      </c>
      <c r="C45" s="10" t="s">
        <v>5</v>
      </c>
      <c r="D45" s="10" t="s">
        <v>6</v>
      </c>
      <c r="E45" s="10" t="s">
        <v>7</v>
      </c>
      <c r="F45" s="10" t="s">
        <v>8</v>
      </c>
      <c r="G45" s="10" t="s">
        <v>9</v>
      </c>
      <c r="H45" s="10" t="s">
        <v>10</v>
      </c>
      <c r="I45" s="10" t="s">
        <v>11</v>
      </c>
      <c r="J45" s="13" t="s">
        <v>26</v>
      </c>
      <c r="K45" s="1"/>
      <c r="L45" s="1"/>
    </row>
    <row r="46" spans="1:15" ht="20" thickBot="1" x14ac:dyDescent="0.3">
      <c r="A46" s="10" t="s">
        <v>2</v>
      </c>
      <c r="B46" s="13" t="str">
        <f>IF(B13&gt;B16,"+","")</f>
        <v/>
      </c>
      <c r="C46" s="13" t="str">
        <f t="shared" ref="C46:I46" si="15">IF(C13&gt;C16,"+","")</f>
        <v/>
      </c>
      <c r="D46" s="13" t="str">
        <f t="shared" si="15"/>
        <v>+</v>
      </c>
      <c r="E46" s="13" t="str">
        <f t="shared" si="15"/>
        <v/>
      </c>
      <c r="F46" s="13" t="str">
        <f t="shared" si="15"/>
        <v>+</v>
      </c>
      <c r="G46" s="13" t="str">
        <f t="shared" si="15"/>
        <v>+</v>
      </c>
      <c r="H46" s="13" t="str">
        <f t="shared" si="15"/>
        <v>+</v>
      </c>
      <c r="I46" s="13" t="str">
        <f t="shared" si="15"/>
        <v/>
      </c>
      <c r="J46" s="10">
        <f>COUNTIF(B46:I46,"+")</f>
        <v>4</v>
      </c>
      <c r="K46" s="1"/>
      <c r="L46" s="1"/>
    </row>
    <row r="47" spans="1:15" ht="20" thickBot="1" x14ac:dyDescent="0.3">
      <c r="A47" s="10" t="s">
        <v>16</v>
      </c>
      <c r="B47" s="13" t="str">
        <f>IF(B16&gt;B13,"+","")</f>
        <v/>
      </c>
      <c r="C47" s="13" t="str">
        <f t="shared" ref="C47:I47" si="16">IF(C16&gt;C13,"+","")</f>
        <v/>
      </c>
      <c r="D47" s="13" t="str">
        <f t="shared" si="16"/>
        <v/>
      </c>
      <c r="E47" s="13" t="str">
        <f t="shared" si="16"/>
        <v/>
      </c>
      <c r="F47" s="13" t="str">
        <f t="shared" si="16"/>
        <v/>
      </c>
      <c r="G47" s="13" t="str">
        <f t="shared" si="16"/>
        <v/>
      </c>
      <c r="H47" s="13" t="str">
        <f t="shared" si="16"/>
        <v/>
      </c>
      <c r="I47" s="13" t="str">
        <f t="shared" si="16"/>
        <v>+</v>
      </c>
      <c r="J47" s="10">
        <f>COUNTIF(B47:I47,"+")</f>
        <v>1</v>
      </c>
      <c r="K47" s="16" t="str">
        <f>IF(J46*J47&gt;0,"Несравнимы",MIN(J46,J47))</f>
        <v>Несравнимы</v>
      </c>
      <c r="L47" s="16"/>
    </row>
    <row r="48" spans="1:15" ht="20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20" thickBot="1" x14ac:dyDescent="0.3">
      <c r="A49" s="10" t="s">
        <v>22</v>
      </c>
      <c r="B49" s="10" t="s">
        <v>4</v>
      </c>
      <c r="C49" s="10" t="s">
        <v>5</v>
      </c>
      <c r="D49" s="10" t="s">
        <v>6</v>
      </c>
      <c r="E49" s="10" t="s">
        <v>7</v>
      </c>
      <c r="F49" s="10" t="s">
        <v>8</v>
      </c>
      <c r="G49" s="10" t="s">
        <v>9</v>
      </c>
      <c r="H49" s="10" t="s">
        <v>10</v>
      </c>
      <c r="I49" s="10" t="s">
        <v>11</v>
      </c>
      <c r="J49" s="10" t="s">
        <v>26</v>
      </c>
      <c r="K49" s="3"/>
      <c r="L49" s="3"/>
    </row>
    <row r="50" spans="1:12" ht="20" thickBot="1" x14ac:dyDescent="0.3">
      <c r="A50" s="10" t="s">
        <v>3</v>
      </c>
      <c r="B50" s="13" t="str">
        <f>IF(B14&gt;B16,"+","")</f>
        <v/>
      </c>
      <c r="C50" s="13" t="str">
        <f>IF(C14&gt;C16,"+","")</f>
        <v>+</v>
      </c>
      <c r="D50" s="13" t="str">
        <f>IF(D14&gt;D16,"+","")</f>
        <v>+</v>
      </c>
      <c r="E50" s="13" t="str">
        <f>IF(E14&gt;E16,"+","")</f>
        <v>+</v>
      </c>
      <c r="F50" s="13" t="str">
        <f>IF(F14&gt;F16,"+","")</f>
        <v/>
      </c>
      <c r="G50" s="13" t="str">
        <f>IF(G14&gt;G16,"+","")</f>
        <v>+</v>
      </c>
      <c r="H50" s="13" t="str">
        <f>IF(H14&gt;H16,"+","")</f>
        <v>+</v>
      </c>
      <c r="I50" s="13" t="str">
        <f>IF(I14&gt;I16,"+","")</f>
        <v/>
      </c>
      <c r="J50" s="14">
        <f>COUNTIF(B50:I50,"+")</f>
        <v>5</v>
      </c>
      <c r="K50" s="3"/>
      <c r="L50" s="3"/>
    </row>
    <row r="51" spans="1:12" ht="20" thickBot="1" x14ac:dyDescent="0.3">
      <c r="A51" s="10" t="s">
        <v>16</v>
      </c>
      <c r="B51" s="13" t="str">
        <f>IF(B16&gt;B14,"+","")</f>
        <v>+</v>
      </c>
      <c r="C51" s="13" t="str">
        <f>IF(C16&gt;C14,"+","")</f>
        <v/>
      </c>
      <c r="D51" s="13" t="str">
        <f>IF(D16&gt;D14,"+","")</f>
        <v/>
      </c>
      <c r="E51" s="13" t="str">
        <f>IF(E16&gt;E14,"+","")</f>
        <v/>
      </c>
      <c r="F51" s="13" t="str">
        <f>IF(F16&gt;F14,"+","")</f>
        <v>+</v>
      </c>
      <c r="G51" s="13" t="str">
        <f>IF(G16&gt;G14,"+","")</f>
        <v/>
      </c>
      <c r="H51" s="13" t="str">
        <f>IF(H16&gt;H14,"+","")</f>
        <v/>
      </c>
      <c r="I51" s="13" t="str">
        <f>IF(I16&gt;I14,"+","")</f>
        <v>+</v>
      </c>
      <c r="J51" s="14">
        <f>COUNTIF(B51:I51,"+")</f>
        <v>3</v>
      </c>
      <c r="K51" s="16" t="str">
        <f>IF(J50*J51&gt;0,"Несравнимы",MIN(J50,J51))</f>
        <v>Несравнимы</v>
      </c>
      <c r="L51" s="16"/>
    </row>
    <row r="52" spans="1:12" ht="17" thickBot="1" x14ac:dyDescent="0.25"/>
    <row r="53" spans="1:12" ht="19" thickBot="1" x14ac:dyDescent="0.25">
      <c r="A53" s="10" t="s">
        <v>22</v>
      </c>
      <c r="B53" s="10" t="s">
        <v>4</v>
      </c>
      <c r="C53" s="10" t="s">
        <v>5</v>
      </c>
      <c r="D53" s="10" t="s">
        <v>6</v>
      </c>
      <c r="E53" s="10" t="s">
        <v>7</v>
      </c>
      <c r="F53" s="10" t="s">
        <v>8</v>
      </c>
      <c r="G53" s="10" t="s">
        <v>9</v>
      </c>
      <c r="H53" s="10" t="s">
        <v>10</v>
      </c>
      <c r="I53" s="10" t="s">
        <v>11</v>
      </c>
      <c r="J53" s="10" t="s">
        <v>26</v>
      </c>
    </row>
    <row r="54" spans="1:12" ht="20" thickBot="1" x14ac:dyDescent="0.3">
      <c r="A54" s="10" t="s">
        <v>35</v>
      </c>
      <c r="B54" s="13" t="str">
        <f>IF(B15&gt;B16,"+","")</f>
        <v/>
      </c>
      <c r="C54" s="13" t="str">
        <f>IF(C15&gt;C16,"+","")</f>
        <v/>
      </c>
      <c r="D54" s="13" t="str">
        <f>IF(D15&gt;D16,"+","")</f>
        <v>+</v>
      </c>
      <c r="E54" s="13" t="str">
        <f>IF(E15&gt;E16,"+","")</f>
        <v/>
      </c>
      <c r="F54" s="13" t="str">
        <f>IF(F15&gt;F16,"+","")</f>
        <v>+</v>
      </c>
      <c r="G54" s="13" t="str">
        <f>IF(G15&gt;G16,"+","")</f>
        <v/>
      </c>
      <c r="H54" s="13" t="str">
        <f>IF(H15&gt;H16,"+","")</f>
        <v>+</v>
      </c>
      <c r="I54" s="13" t="str">
        <f>IF(I15&gt;I16,"+","")</f>
        <v/>
      </c>
      <c r="J54" s="14">
        <f>COUNTIF(B54:I54,"+")</f>
        <v>3</v>
      </c>
    </row>
    <row r="55" spans="1:12" ht="20" thickBot="1" x14ac:dyDescent="0.3">
      <c r="A55" s="10" t="s">
        <v>16</v>
      </c>
      <c r="B55" s="13" t="str">
        <f>IF(B16&gt;B15,"+","")</f>
        <v>+</v>
      </c>
      <c r="C55" s="13" t="str">
        <f>IF(C16&gt;C15,"+","")</f>
        <v/>
      </c>
      <c r="D55" s="13" t="str">
        <f>IF(D16&gt;D15,"+","")</f>
        <v/>
      </c>
      <c r="E55" s="13" t="str">
        <f>IF(E16&gt;E15,"+","")</f>
        <v/>
      </c>
      <c r="F55" s="13" t="str">
        <f>IF(F16&gt;F15,"+","")</f>
        <v/>
      </c>
      <c r="G55" s="13" t="str">
        <f>IF(G16&gt;G15,"+","")</f>
        <v>+</v>
      </c>
      <c r="H55" s="13" t="str">
        <f>IF(H16&gt;H15,"+","")</f>
        <v/>
      </c>
      <c r="I55" s="13" t="str">
        <f>IF(I16&gt;I15,"+","")</f>
        <v>+</v>
      </c>
      <c r="J55" s="14">
        <f>COUNTIF(B55:I55,"+")</f>
        <v>3</v>
      </c>
      <c r="K55" s="27" t="s">
        <v>36</v>
      </c>
      <c r="L55" s="28"/>
    </row>
    <row r="56" spans="1:12" ht="17" thickBot="1" x14ac:dyDescent="0.25"/>
    <row r="57" spans="1:12" ht="19" thickBot="1" x14ac:dyDescent="0.25">
      <c r="A57" s="10"/>
      <c r="B57" s="10" t="s">
        <v>4</v>
      </c>
      <c r="C57" s="10" t="s">
        <v>5</v>
      </c>
      <c r="D57" s="10" t="s">
        <v>6</v>
      </c>
      <c r="E57" s="10" t="s">
        <v>7</v>
      </c>
      <c r="F57" s="10" t="s">
        <v>8</v>
      </c>
      <c r="G57" s="10" t="s">
        <v>9</v>
      </c>
      <c r="H57" s="10" t="s">
        <v>10</v>
      </c>
      <c r="I57" s="10" t="s">
        <v>11</v>
      </c>
    </row>
    <row r="58" spans="1:12" ht="19" thickBot="1" x14ac:dyDescent="0.25">
      <c r="A58" s="2" t="s">
        <v>32</v>
      </c>
      <c r="B58" s="11">
        <f>MAX(B12:B16)</f>
        <v>3</v>
      </c>
      <c r="C58" s="11">
        <f>MAX(C12:C16)</f>
        <v>5</v>
      </c>
      <c r="D58" s="11">
        <f>MAX(D12:D16)</f>
        <v>5</v>
      </c>
      <c r="E58" s="11">
        <f>MAX(E12:E16)</f>
        <v>4</v>
      </c>
      <c r="F58" s="11">
        <f>MAX(F12:F16)</f>
        <v>4</v>
      </c>
      <c r="G58" s="11">
        <f>MAX(G12:G16)</f>
        <v>5</v>
      </c>
      <c r="H58" s="11">
        <f>MAX(H12:H16)</f>
        <v>3</v>
      </c>
      <c r="I58" s="11">
        <f>MAX(I12:I16)</f>
        <v>5</v>
      </c>
    </row>
    <row r="59" spans="1:12" ht="19" thickBot="1" x14ac:dyDescent="0.25">
      <c r="A59" s="10" t="s">
        <v>22</v>
      </c>
      <c r="B59" s="11" t="s">
        <v>29</v>
      </c>
      <c r="C59" s="11" t="s">
        <v>14</v>
      </c>
      <c r="D59" s="11" t="s">
        <v>14</v>
      </c>
      <c r="E59" s="11" t="s">
        <v>14</v>
      </c>
      <c r="F59" s="11" t="s">
        <v>13</v>
      </c>
      <c r="G59" s="11" t="s">
        <v>30</v>
      </c>
      <c r="H59" s="11" t="s">
        <v>31</v>
      </c>
      <c r="I59" s="11" t="s">
        <v>16</v>
      </c>
    </row>
    <row r="64" spans="1:12" ht="18" x14ac:dyDescent="0.2">
      <c r="A64" s="2"/>
    </row>
    <row r="65" spans="1:1" ht="18" x14ac:dyDescent="0.2">
      <c r="A65" s="2"/>
    </row>
    <row r="66" spans="1:1" ht="18" x14ac:dyDescent="0.2">
      <c r="A66" s="2"/>
    </row>
  </sheetData>
  <mergeCells count="15">
    <mergeCell ref="K55:L55"/>
    <mergeCell ref="K47:L47"/>
    <mergeCell ref="K51:L51"/>
    <mergeCell ref="A1:A2"/>
    <mergeCell ref="B1:I1"/>
    <mergeCell ref="A10:A11"/>
    <mergeCell ref="B10:I10"/>
    <mergeCell ref="K23:L23"/>
    <mergeCell ref="K27:L27"/>
    <mergeCell ref="K20:L20"/>
    <mergeCell ref="N39:O39"/>
    <mergeCell ref="K31:L31"/>
    <mergeCell ref="K35:L35"/>
    <mergeCell ref="K39:L39"/>
    <mergeCell ref="K43:L4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 Osin</dc:creator>
  <cp:lastModifiedBy>Serega Osin</cp:lastModifiedBy>
  <dcterms:created xsi:type="dcterms:W3CDTF">2026-04-20T10:10:18Z</dcterms:created>
  <dcterms:modified xsi:type="dcterms:W3CDTF">2026-04-27T09:48:31Z</dcterms:modified>
</cp:coreProperties>
</file>