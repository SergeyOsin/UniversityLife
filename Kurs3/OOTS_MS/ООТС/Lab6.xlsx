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osin/Desktop/Отчёты_Системы/ООТС/"/>
    </mc:Choice>
  </mc:AlternateContent>
  <xr:revisionPtr revIDLastSave="0" documentId="13_ncr:1_{386842DB-14C1-EE47-AC93-E4EC71275E5F}" xr6:coauthVersionLast="47" xr6:coauthVersionMax="47" xr10:uidLastSave="{00000000-0000-0000-0000-000000000000}"/>
  <bookViews>
    <workbookView xWindow="0" yWindow="680" windowWidth="29400" windowHeight="16660" xr2:uid="{901DC53C-475F-6D41-B066-A970BEFF5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R76" i="1"/>
  <c r="Q76" i="1"/>
  <c r="P76" i="1"/>
  <c r="O76" i="1"/>
  <c r="N76" i="1"/>
  <c r="R41" i="1"/>
  <c r="R40" i="1"/>
  <c r="S67" i="1"/>
  <c r="S66" i="1"/>
  <c r="S58" i="1"/>
  <c r="S57" i="1"/>
  <c r="S49" i="1"/>
  <c r="S48" i="1"/>
  <c r="S14" i="1"/>
  <c r="S4" i="1"/>
  <c r="F11" i="1"/>
  <c r="L3" i="1"/>
  <c r="O68" i="1"/>
  <c r="S68" i="1" s="1"/>
  <c r="O67" i="1"/>
  <c r="Q69" i="1"/>
  <c r="P68" i="1"/>
  <c r="P69" i="1" s="1"/>
  <c r="P59" i="1"/>
  <c r="Q60" i="1"/>
  <c r="O59" i="1"/>
  <c r="O60" i="1" s="1"/>
  <c r="P57" i="1"/>
  <c r="P50" i="1"/>
  <c r="P48" i="1"/>
  <c r="O50" i="1"/>
  <c r="S50" i="1" s="1"/>
  <c r="Q51" i="1"/>
  <c r="Q40" i="1"/>
  <c r="Q39" i="1"/>
  <c r="S39" i="1" s="1"/>
  <c r="P39" i="1"/>
  <c r="O40" i="1" s="1"/>
  <c r="S40" i="1" s="1"/>
  <c r="P32" i="1"/>
  <c r="Q31" i="1" s="1"/>
  <c r="Q30" i="1"/>
  <c r="O32" i="1" s="1"/>
  <c r="P30" i="1"/>
  <c r="O31" i="1" s="1"/>
  <c r="S31" i="1" s="1"/>
  <c r="P23" i="1"/>
  <c r="Q22" i="1" s="1"/>
  <c r="Q21" i="1"/>
  <c r="O23" i="1" s="1"/>
  <c r="S23" i="1" s="1"/>
  <c r="P21" i="1"/>
  <c r="O22" i="1" s="1"/>
  <c r="O14" i="1"/>
  <c r="Q12" i="1" s="1"/>
  <c r="P14" i="1"/>
  <c r="Q13" i="1" s="1"/>
  <c r="G8" i="1"/>
  <c r="D10" i="1"/>
  <c r="E10" i="1"/>
  <c r="E9" i="1"/>
  <c r="D9" i="1"/>
  <c r="D8" i="1"/>
  <c r="E8" i="1"/>
  <c r="F9" i="1"/>
  <c r="G10" i="1"/>
  <c r="C10" i="1"/>
  <c r="C9" i="1"/>
  <c r="C8" i="1"/>
  <c r="L8" i="1" s="1"/>
  <c r="C7" i="1"/>
  <c r="P12" i="1"/>
  <c r="O6" i="1"/>
  <c r="C6" i="1"/>
  <c r="C5" i="1"/>
  <c r="C4" i="1"/>
  <c r="L4" i="1" s="1"/>
  <c r="P5" i="1"/>
  <c r="S5" i="1" s="1"/>
  <c r="Q3" i="1"/>
  <c r="Q6" i="1" s="1"/>
  <c r="P3" i="1"/>
  <c r="J11" i="1"/>
  <c r="F10" i="1"/>
  <c r="E7" i="1"/>
  <c r="D6" i="1"/>
  <c r="D7" i="1"/>
  <c r="L7" i="1" s="1"/>
  <c r="I10" i="1"/>
  <c r="I11" i="1" s="1"/>
  <c r="H10" i="1"/>
  <c r="H9" i="1"/>
  <c r="G9" i="1"/>
  <c r="F8" i="1"/>
  <c r="F7" i="1"/>
  <c r="E6" i="1"/>
  <c r="D5" i="1"/>
  <c r="D11" i="1" s="1"/>
  <c r="S32" i="1" l="1"/>
  <c r="S59" i="1"/>
  <c r="O69" i="1"/>
  <c r="S21" i="1"/>
  <c r="L10" i="1"/>
  <c r="L9" i="1"/>
  <c r="S3" i="1"/>
  <c r="L5" i="1"/>
  <c r="L11" i="1" s="1"/>
  <c r="K4" i="1" s="1"/>
  <c r="O41" i="1"/>
  <c r="S41" i="1" s="1"/>
  <c r="H11" i="1"/>
  <c r="P15" i="1"/>
  <c r="O24" i="1"/>
  <c r="S12" i="1"/>
  <c r="S22" i="1"/>
  <c r="L6" i="1"/>
  <c r="P6" i="1"/>
  <c r="S30" i="1"/>
  <c r="O13" i="1"/>
  <c r="G11" i="1"/>
  <c r="Q15" i="1"/>
  <c r="P60" i="1"/>
  <c r="O51" i="1"/>
  <c r="P51" i="1"/>
  <c r="P42" i="1"/>
  <c r="Q42" i="1"/>
  <c r="O33" i="1"/>
  <c r="P33" i="1"/>
  <c r="Q33" i="1"/>
  <c r="P24" i="1"/>
  <c r="Q24" i="1"/>
  <c r="E11" i="1"/>
  <c r="C11" i="1"/>
  <c r="S6" i="1" l="1"/>
  <c r="O15" i="1"/>
  <c r="S13" i="1"/>
  <c r="S15" i="1" s="1"/>
  <c r="R14" i="1" s="1"/>
  <c r="O42" i="1"/>
  <c r="K5" i="1"/>
  <c r="K6" i="1"/>
  <c r="K7" i="1"/>
  <c r="K3" i="1"/>
  <c r="S69" i="1"/>
  <c r="R67" i="1" s="1"/>
  <c r="S60" i="1"/>
  <c r="R58" i="1" s="1"/>
  <c r="S51" i="1"/>
  <c r="R50" i="1" s="1"/>
  <c r="S42" i="1"/>
  <c r="R39" i="1" s="1"/>
  <c r="R42" i="1" s="1"/>
  <c r="S33" i="1"/>
  <c r="R31" i="1" s="1"/>
  <c r="S24" i="1"/>
  <c r="R21" i="1" s="1"/>
  <c r="R5" i="1" l="1"/>
  <c r="R4" i="1"/>
  <c r="R30" i="1"/>
  <c r="R13" i="1"/>
  <c r="R3" i="1"/>
  <c r="R32" i="1"/>
  <c r="R33" i="1" s="1"/>
  <c r="R57" i="1"/>
  <c r="R68" i="1"/>
  <c r="R66" i="1"/>
  <c r="R49" i="1"/>
  <c r="R12" i="1"/>
  <c r="R48" i="1"/>
  <c r="R59" i="1"/>
  <c r="R60" i="1" s="1"/>
  <c r="R23" i="1"/>
  <c r="R22" i="1"/>
  <c r="K8" i="1"/>
  <c r="C15" i="1" s="1" a="1"/>
  <c r="C15" i="1" s="1"/>
  <c r="G15" i="1" s="1"/>
  <c r="K9" i="1"/>
  <c r="K10" i="1"/>
  <c r="O18" i="1" l="1" a="1"/>
  <c r="O18" i="1" s="1"/>
  <c r="R15" i="1"/>
  <c r="R6" i="1"/>
  <c r="O9" i="1" a="1"/>
  <c r="O9" i="1" s="1"/>
  <c r="Q9" i="1" s="1"/>
  <c r="S9" i="1" s="1"/>
  <c r="R69" i="1"/>
  <c r="O72" i="1" a="1"/>
  <c r="O72" i="1" s="1"/>
  <c r="Q72" i="1" s="1"/>
  <c r="S72" i="1" s="1"/>
  <c r="O63" i="1" a="1"/>
  <c r="O63" i="1" s="1"/>
  <c r="Q63" i="1" s="1"/>
  <c r="S63" i="1" s="1"/>
  <c r="R51" i="1"/>
  <c r="O54" i="1" a="1"/>
  <c r="O54" i="1" s="1"/>
  <c r="Q54" i="1" s="1"/>
  <c r="S54" i="1" s="1"/>
  <c r="O45" i="1" a="1"/>
  <c r="O45" i="1" s="1"/>
  <c r="Q45" i="1" s="1"/>
  <c r="S45" i="1" s="1"/>
  <c r="O36" i="1" a="1"/>
  <c r="O36" i="1" s="1"/>
  <c r="Q36" i="1" s="1"/>
  <c r="S36" i="1" s="1"/>
  <c r="R24" i="1"/>
  <c r="O27" i="1" a="1"/>
  <c r="O27" i="1" s="1"/>
  <c r="Q27" i="1" s="1"/>
  <c r="S27" i="1" s="1"/>
  <c r="Q18" i="1"/>
  <c r="S18" i="1" s="1"/>
  <c r="K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<sst xmlns="http://schemas.openxmlformats.org/spreadsheetml/2006/main" count="143" uniqueCount="26">
  <si>
    <t>Критерии</t>
  </si>
  <si>
    <t>К1</t>
  </si>
  <si>
    <t>К2</t>
  </si>
  <si>
    <t>К3</t>
  </si>
  <si>
    <t>К4</t>
  </si>
  <si>
    <t>К5</t>
  </si>
  <si>
    <t>К6</t>
  </si>
  <si>
    <t>К7</t>
  </si>
  <si>
    <t>К8</t>
  </si>
  <si>
    <t>Сумма</t>
  </si>
  <si>
    <t>ИС=</t>
  </si>
  <si>
    <t>ОС=</t>
  </si>
  <si>
    <t>НВП</t>
  </si>
  <si>
    <t>В1</t>
  </si>
  <si>
    <t>В2</t>
  </si>
  <si>
    <t>В3</t>
  </si>
  <si>
    <t>Среднее геометрическое</t>
  </si>
  <si>
    <t>n</t>
  </si>
  <si>
    <t>ПСС</t>
  </si>
  <si>
    <t>Ymax=</t>
  </si>
  <si>
    <t>Характеристики согласованности оценки в матрице</t>
  </si>
  <si>
    <t>К(В1)</t>
  </si>
  <si>
    <t>К(В2)</t>
  </si>
  <si>
    <t>К(В3)</t>
  </si>
  <si>
    <t>ОИС</t>
  </si>
  <si>
    <t>ООС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</si>
</sst>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5" fillId="0" borderId="7" xfId="0" applyNumberFormat="1" applyFont="1" applyBorder="1"/>
    <xf numFmtId="0" fontId="2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10" fontId="5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GB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ru-RU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Сравнение</a:t>
            </a:r>
            <a:r>
              <a:rPr lang="ru-RU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общих критериев по вариантам</a:t>
            </a:r>
            <a:endParaRPr lang="en-GB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92034743459817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p3d/>
          </c:spPr>
          <c:invertIfNegative val="0"/>
          <c:dLbls>
            <c:dLbl>
              <c:idx val="0"/>
              <c:spPr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C2-C749-962F-5DC5BEFEA589}"/>
                </c:ext>
              </c:extLst>
            </c:dLbl>
            <c:dLbl>
              <c:idx val="1"/>
              <c:spPr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FC2-C749-962F-5DC5BEFEA589}"/>
                </c:ext>
              </c:extLst>
            </c:dLbl>
            <c:dLbl>
              <c:idx val="2"/>
              <c:spPr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C2-C749-962F-5DC5BEFEA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Sheet1!$N$75:$P$75</c:f>
              <c:strCache>
                <c:ptCount val="3"/>
                <c:pt idx="0">
                  <c:v>К(В1)</c:v>
                </c:pt>
                <c:pt idx="1">
                  <c:v>К(В2)</c:v>
                </c:pt>
                <c:pt idx="2">
                  <c:v>К(В3)</c:v>
                </c:pt>
              </c:strCache>
            </c:strRef>
          </c:cat>
          <c:val>
            <c:numRef>
              <c:f>Sheet1!$N$76:$P$76</c:f>
              <c:numCache>
                <c:formatCode>0.00</c:formatCode>
                <c:ptCount val="3"/>
                <c:pt idx="0" formatCode="General">
                  <c:v>0.43</c:v>
                </c:pt>
                <c:pt idx="1">
                  <c:v>0.3025566666666667</c:v>
                </c:pt>
                <c:pt idx="2">
                  <c:v>0.38426666666666665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2-C749-962F-5DC5BEFEA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shape val="box"/>
        <c:axId val="516052672"/>
        <c:axId val="516054464"/>
        <c:axId val="513657344"/>
      </c:bar3DChart>
      <c:catAx>
        <c:axId val="51605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RU"/>
          </a:p>
        </c:txPr>
        <c:crossAx val="516054464"/>
        <c:crosses val="autoZero"/>
        <c:auto val="1"/>
        <c:lblAlgn val="ctr"/>
        <c:lblOffset val="100"/>
        <c:noMultiLvlLbl val="0"/>
      </c:catAx>
      <c:valAx>
        <c:axId val="516054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6052672"/>
        <c:crosses val="autoZero"/>
        <c:crossBetween val="between"/>
      </c:valAx>
      <c:serAx>
        <c:axId val="513657344"/>
        <c:scaling>
          <c:orientation val="minMax"/>
        </c:scaling>
        <c:delete val="1"/>
        <c:axPos val="b"/>
        <c:majorTickMark val="out"/>
        <c:minorTickMark val="none"/>
        <c:tickLblPos val="nextTo"/>
        <c:crossAx val="516054464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7055</xdr:colOff>
      <xdr:row>77</xdr:row>
      <xdr:rowOff>11290</xdr:rowOff>
    </xdr:from>
    <xdr:to>
      <xdr:col>19</xdr:col>
      <xdr:colOff>0</xdr:colOff>
      <xdr:row>90</xdr:row>
      <xdr:rowOff>186267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EAF4E-F1E2-47A6-3B97-CDB16AD87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4293-518B-764C-B1DB-A9B832C365DD}">
  <dimension ref="A1:S76"/>
  <sheetViews>
    <sheetView tabSelected="1" topLeftCell="A18" zoomScale="90" workbookViewId="0">
      <selection activeCell="N33" sqref="N33:S33"/>
    </sheetView>
  </sheetViews>
  <sheetFormatPr baseColWidth="10" defaultRowHeight="16" x14ac:dyDescent="0.2"/>
  <cols>
    <col min="2" max="2" width="11.6640625" bestFit="1" customWidth="1"/>
    <col min="3" max="3" width="11.6640625" style="1" bestFit="1" customWidth="1"/>
    <col min="4" max="4" width="10.83203125" style="1"/>
    <col min="5" max="5" width="10.83203125" customWidth="1"/>
    <col min="7" max="7" width="10.83203125" customWidth="1"/>
    <col min="12" max="12" width="28" bestFit="1" customWidth="1"/>
    <col min="19" max="19" width="27.33203125" bestFit="1" customWidth="1"/>
  </cols>
  <sheetData>
    <row r="1" spans="2:19" ht="17" thickBot="1" x14ac:dyDescent="0.25"/>
    <row r="2" spans="2:19" ht="20" thickBo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12</v>
      </c>
      <c r="L2" s="5" t="s">
        <v>16</v>
      </c>
      <c r="N2" s="5" t="s">
        <v>1</v>
      </c>
      <c r="O2" s="8" t="s">
        <v>13</v>
      </c>
      <c r="P2" s="8" t="s">
        <v>14</v>
      </c>
      <c r="Q2" s="8" t="s">
        <v>15</v>
      </c>
      <c r="R2" s="8" t="s">
        <v>12</v>
      </c>
      <c r="S2" s="8" t="s">
        <v>16</v>
      </c>
    </row>
    <row r="3" spans="2:19" ht="20" thickBot="1" x14ac:dyDescent="0.3">
      <c r="B3" s="5" t="s">
        <v>1</v>
      </c>
      <c r="C3" s="7">
        <v>1</v>
      </c>
      <c r="D3" s="14">
        <v>3</v>
      </c>
      <c r="E3" s="14">
        <v>3</v>
      </c>
      <c r="F3" s="14">
        <v>3</v>
      </c>
      <c r="G3" s="14">
        <v>3</v>
      </c>
      <c r="H3" s="14">
        <v>6</v>
      </c>
      <c r="I3" s="14">
        <v>3</v>
      </c>
      <c r="J3" s="14">
        <v>7</v>
      </c>
      <c r="K3" s="6">
        <f>ROUND(L3/$L$11,2)</f>
        <v>0.27</v>
      </c>
      <c r="L3" s="6">
        <f>ROUND(PRODUCT(C3:J3)^(1/8),2)</f>
        <v>3.17</v>
      </c>
      <c r="N3" s="5" t="s">
        <v>13</v>
      </c>
      <c r="O3" s="7">
        <v>1</v>
      </c>
      <c r="P3" s="10">
        <f>O3/O4</f>
        <v>0.2</v>
      </c>
      <c r="Q3" s="10">
        <f>1/O5</f>
        <v>1</v>
      </c>
      <c r="R3" s="16">
        <f>ROUND(S3/$S$6,3)</f>
        <v>0.16500000000000001</v>
      </c>
      <c r="S3" s="6">
        <f>ROUND(PRODUCT(O3:Q3)^(1/3),2)</f>
        <v>0.57999999999999996</v>
      </c>
    </row>
    <row r="4" spans="2:19" ht="20" thickBot="1" x14ac:dyDescent="0.3">
      <c r="B4" s="5" t="s">
        <v>2</v>
      </c>
      <c r="C4" s="15">
        <f>ROUND(1/D$3,2)</f>
        <v>0.33</v>
      </c>
      <c r="D4" s="7">
        <v>1</v>
      </c>
      <c r="E4" s="14">
        <v>2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6">
        <f>ROUND(L4/$L$11,2)</f>
        <v>0.25</v>
      </c>
      <c r="L4" s="6">
        <f t="shared" ref="L4:L10" si="0">ROUND(PRODUCT(C4:J4)^(1/8),2)</f>
        <v>2.86</v>
      </c>
      <c r="N4" s="5" t="s">
        <v>14</v>
      </c>
      <c r="O4" s="10">
        <v>5</v>
      </c>
      <c r="P4" s="7">
        <v>1</v>
      </c>
      <c r="Q4" s="10">
        <v>2</v>
      </c>
      <c r="R4" s="16">
        <f>ROUND(S4/$S$6,3)</f>
        <v>0.61099999999999999</v>
      </c>
      <c r="S4" s="6">
        <f>ROUND(PRODUCT(O4:Q4)^(1/3),2)</f>
        <v>2.15</v>
      </c>
    </row>
    <row r="5" spans="2:19" ht="20" thickBot="1" x14ac:dyDescent="0.3">
      <c r="B5" s="5" t="s">
        <v>3</v>
      </c>
      <c r="C5" s="15">
        <f>ROUND(1/E$3,2)</f>
        <v>0.33</v>
      </c>
      <c r="D5" s="15">
        <f>$D$4/$E4</f>
        <v>0.5</v>
      </c>
      <c r="E5" s="7">
        <v>1</v>
      </c>
      <c r="F5" s="14">
        <v>2</v>
      </c>
      <c r="G5" s="14">
        <v>2</v>
      </c>
      <c r="H5" s="14">
        <v>6</v>
      </c>
      <c r="I5" s="14">
        <v>6</v>
      </c>
      <c r="J5" s="14">
        <v>7</v>
      </c>
      <c r="K5" s="6">
        <f>ROUND(L5/$L$11,2)</f>
        <v>0.16</v>
      </c>
      <c r="L5" s="6">
        <f t="shared" si="0"/>
        <v>1.9</v>
      </c>
      <c r="N5" s="5" t="s">
        <v>15</v>
      </c>
      <c r="O5" s="10">
        <v>1</v>
      </c>
      <c r="P5" s="10">
        <f>P4/Q4</f>
        <v>0.5</v>
      </c>
      <c r="Q5" s="7">
        <v>1</v>
      </c>
      <c r="R5" s="16">
        <f>ROUND(S5/$S$6,3)</f>
        <v>0.224</v>
      </c>
      <c r="S5" s="6">
        <f>ROUND(PRODUCT(O5:Q5)^(1/3),2)</f>
        <v>0.79</v>
      </c>
    </row>
    <row r="6" spans="2:19" ht="19" thickBot="1" x14ac:dyDescent="0.25">
      <c r="B6" s="5" t="s">
        <v>4</v>
      </c>
      <c r="C6" s="15">
        <f>ROUND(1/F$3,2)</f>
        <v>0.33</v>
      </c>
      <c r="D6" s="15">
        <f>$D$4/F4</f>
        <v>0.25</v>
      </c>
      <c r="E6" s="15">
        <f>1/F5</f>
        <v>0.5</v>
      </c>
      <c r="F6" s="7">
        <v>1</v>
      </c>
      <c r="G6" s="14">
        <v>5</v>
      </c>
      <c r="H6" s="14">
        <v>5</v>
      </c>
      <c r="I6" s="14">
        <v>6</v>
      </c>
      <c r="J6" s="14">
        <v>8</v>
      </c>
      <c r="K6" s="6">
        <f>ROUND(L6/$L$11,2)</f>
        <v>0.14000000000000001</v>
      </c>
      <c r="L6" s="6">
        <f t="shared" si="0"/>
        <v>1.63</v>
      </c>
      <c r="N6" s="2" t="s">
        <v>9</v>
      </c>
      <c r="O6" s="1">
        <f t="shared" ref="O6:Q6" si="1">SUM(O3:O5)</f>
        <v>7</v>
      </c>
      <c r="P6" s="1">
        <f t="shared" si="1"/>
        <v>1.7</v>
      </c>
      <c r="Q6" s="1">
        <f t="shared" si="1"/>
        <v>4</v>
      </c>
      <c r="R6" s="1">
        <f>SUM(R3:R5)</f>
        <v>1</v>
      </c>
      <c r="S6" s="1">
        <f>SUM(S3:S5)</f>
        <v>3.52</v>
      </c>
    </row>
    <row r="7" spans="2:19" ht="19" thickBot="1" x14ac:dyDescent="0.25">
      <c r="B7" s="5" t="s">
        <v>5</v>
      </c>
      <c r="C7" s="15">
        <f>ROUND(1/G$3,2)</f>
        <v>0.33</v>
      </c>
      <c r="D7" s="15">
        <f>$D$4/G4</f>
        <v>0.2</v>
      </c>
      <c r="E7" s="15">
        <f>1/G5</f>
        <v>0.5</v>
      </c>
      <c r="F7" s="15">
        <f>1/G6</f>
        <v>0.2</v>
      </c>
      <c r="G7" s="7">
        <v>1</v>
      </c>
      <c r="H7" s="14">
        <v>2</v>
      </c>
      <c r="I7" s="14">
        <v>4</v>
      </c>
      <c r="J7" s="14">
        <v>8</v>
      </c>
      <c r="K7" s="6">
        <f>ROUND(L7/$L$11,2)</f>
        <v>0.08</v>
      </c>
      <c r="L7" s="6">
        <f t="shared" si="0"/>
        <v>0.9</v>
      </c>
    </row>
    <row r="8" spans="2:19" ht="20" thickTop="1" thickBot="1" x14ac:dyDescent="0.25">
      <c r="B8" s="5" t="s">
        <v>6</v>
      </c>
      <c r="C8" s="15">
        <f>ROUND(1/H$3,2)</f>
        <v>0.17</v>
      </c>
      <c r="D8" s="15">
        <f>ROUND($D$4/H4,2)</f>
        <v>0.17</v>
      </c>
      <c r="E8" s="15">
        <f>ROUND(1/H5,2)</f>
        <v>0.17</v>
      </c>
      <c r="F8" s="15">
        <f>1/H6</f>
        <v>0.2</v>
      </c>
      <c r="G8" s="15">
        <f>1/H7</f>
        <v>0.5</v>
      </c>
      <c r="H8" s="7">
        <v>1</v>
      </c>
      <c r="I8" s="14">
        <v>4</v>
      </c>
      <c r="J8" s="14">
        <v>4</v>
      </c>
      <c r="K8" s="6">
        <f t="shared" ref="K8:K10" si="2">ROUND(L8/$L$11,2)</f>
        <v>0.05</v>
      </c>
      <c r="L8" s="6">
        <f t="shared" si="0"/>
        <v>0.55000000000000004</v>
      </c>
      <c r="N8" s="28" t="s">
        <v>20</v>
      </c>
      <c r="O8" s="28"/>
      <c r="P8" s="28"/>
      <c r="Q8" s="28"/>
      <c r="R8" s="28"/>
      <c r="S8" s="28"/>
    </row>
    <row r="9" spans="2:19" ht="20" thickTop="1" thickBot="1" x14ac:dyDescent="0.25">
      <c r="B9" s="5" t="s">
        <v>7</v>
      </c>
      <c r="C9" s="15">
        <f>ROUND(1/I3,2)</f>
        <v>0.33</v>
      </c>
      <c r="D9" s="15">
        <f>ROUND($D$4/I4,2)</f>
        <v>0.14000000000000001</v>
      </c>
      <c r="E9" s="15">
        <f>ROUND(1/I5,2)</f>
        <v>0.17</v>
      </c>
      <c r="F9" s="15">
        <f>ROUND(1/I6,2)</f>
        <v>0.17</v>
      </c>
      <c r="G9" s="15">
        <f>1/I7</f>
        <v>0.25</v>
      </c>
      <c r="H9" s="15">
        <f>1/I8</f>
        <v>0.25</v>
      </c>
      <c r="I9" s="7">
        <v>1</v>
      </c>
      <c r="J9" s="15">
        <v>2</v>
      </c>
      <c r="K9" s="6">
        <f t="shared" si="2"/>
        <v>0.03</v>
      </c>
      <c r="L9" s="6">
        <f t="shared" si="0"/>
        <v>0.34</v>
      </c>
      <c r="N9" s="21" t="s">
        <v>19</v>
      </c>
      <c r="O9" s="24" cm="1">
        <f t="array" ref="O9">ROUND(SUMPRODUCT(O6:Q6,TRANSPOSE(R3:R5)),2)</f>
        <v>3.09</v>
      </c>
      <c r="P9" s="21" t="s">
        <v>10</v>
      </c>
      <c r="Q9" s="26">
        <f>(O9-3)/(3-1)</f>
        <v>4.4999999999999929E-2</v>
      </c>
      <c r="R9" s="21" t="s">
        <v>11</v>
      </c>
      <c r="S9" s="27">
        <f>Q9/D20</f>
        <v>7.7586206896551602E-2</v>
      </c>
    </row>
    <row r="10" spans="2:19" ht="19" thickBot="1" x14ac:dyDescent="0.25">
      <c r="B10" s="5" t="s">
        <v>8</v>
      </c>
      <c r="C10" s="15">
        <f>ROUND(1/J3,2)</f>
        <v>0.14000000000000001</v>
      </c>
      <c r="D10" s="15">
        <f>$D$4/J4</f>
        <v>0.125</v>
      </c>
      <c r="E10" s="15">
        <f>ROUND(1/J5,2)</f>
        <v>0.14000000000000001</v>
      </c>
      <c r="F10" s="15">
        <f>1/J6</f>
        <v>0.125</v>
      </c>
      <c r="G10" s="15">
        <f>ROUND(1/J7,2)</f>
        <v>0.13</v>
      </c>
      <c r="H10" s="15">
        <f>1/J8</f>
        <v>0.25</v>
      </c>
      <c r="I10" s="15">
        <f>1/J9</f>
        <v>0.5</v>
      </c>
      <c r="J10" s="7">
        <v>1</v>
      </c>
      <c r="K10" s="6">
        <f t="shared" si="2"/>
        <v>0.02</v>
      </c>
      <c r="L10" s="6">
        <f t="shared" si="0"/>
        <v>0.22</v>
      </c>
    </row>
    <row r="11" spans="2:19" ht="20" thickBot="1" x14ac:dyDescent="0.3">
      <c r="B11" s="5" t="s">
        <v>9</v>
      </c>
      <c r="C11" s="10">
        <f>SUM(C3:C10)</f>
        <v>2.9600000000000004</v>
      </c>
      <c r="D11" s="10">
        <f>ROUND(SUM(D3:D10),2)</f>
        <v>5.39</v>
      </c>
      <c r="E11" s="10">
        <f>SUM(E3:E10)</f>
        <v>7.4799999999999995</v>
      </c>
      <c r="F11" s="10">
        <f>ROUND(SUM(F3:F10),2)</f>
        <v>10.7</v>
      </c>
      <c r="G11" s="10">
        <f>SUM(G3:G10)</f>
        <v>16.88</v>
      </c>
      <c r="H11" s="10">
        <f>SUM(H3:H10)</f>
        <v>26.5</v>
      </c>
      <c r="I11" s="10">
        <f>SUM(I3:I10)</f>
        <v>31.5</v>
      </c>
      <c r="J11" s="10">
        <f>SUM(J3:J10)</f>
        <v>45</v>
      </c>
      <c r="K11" s="6">
        <f>ROUND(SUM(K3:K10),3)</f>
        <v>1</v>
      </c>
      <c r="L11" s="6">
        <f>SUM(L3:L10)</f>
        <v>11.57</v>
      </c>
      <c r="N11" s="5" t="s">
        <v>2</v>
      </c>
      <c r="O11" s="8" t="s">
        <v>13</v>
      </c>
      <c r="P11" s="8" t="s">
        <v>14</v>
      </c>
      <c r="Q11" s="8" t="s">
        <v>15</v>
      </c>
      <c r="R11" s="8" t="s">
        <v>12</v>
      </c>
      <c r="S11" s="8" t="s">
        <v>16</v>
      </c>
    </row>
    <row r="12" spans="2:19" ht="20" thickBot="1" x14ac:dyDescent="0.3">
      <c r="N12" s="5" t="s">
        <v>13</v>
      </c>
      <c r="O12" s="7">
        <v>1</v>
      </c>
      <c r="P12" s="10">
        <f>2</f>
        <v>2</v>
      </c>
      <c r="Q12" s="10">
        <f>1/O14</f>
        <v>0.25</v>
      </c>
      <c r="R12" s="10">
        <f>ROUND(S12/$S$15,2)</f>
        <v>0.19</v>
      </c>
      <c r="S12" s="11">
        <f>ROUND(PRODUCT(O12:Q12)^(1/3),2)</f>
        <v>0.79</v>
      </c>
    </row>
    <row r="13" spans="2:19" ht="20" thickBot="1" x14ac:dyDescent="0.3">
      <c r="B13" s="2"/>
      <c r="N13" s="5" t="s">
        <v>14</v>
      </c>
      <c r="O13" s="10">
        <f>O12/P12</f>
        <v>0.5</v>
      </c>
      <c r="P13" s="7">
        <v>1</v>
      </c>
      <c r="Q13" s="10">
        <f>ROUND(1/P14,2)</f>
        <v>0.14000000000000001</v>
      </c>
      <c r="R13" s="10">
        <f t="shared" ref="R13:R14" si="3">ROUND(S13/$S$15,2)</f>
        <v>0.1</v>
      </c>
      <c r="S13" s="11">
        <f t="shared" ref="S13" si="4">ROUND(PRODUCT(O13:Q13)^(1/3),2)</f>
        <v>0.41</v>
      </c>
    </row>
    <row r="14" spans="2:19" ht="20" thickBot="1" x14ac:dyDescent="0.3">
      <c r="B14" s="29" t="s">
        <v>20</v>
      </c>
      <c r="C14" s="29"/>
      <c r="D14" s="29"/>
      <c r="E14" s="29"/>
      <c r="F14" s="29"/>
      <c r="G14" s="29"/>
      <c r="H14" s="29"/>
      <c r="I14" s="29"/>
      <c r="J14" s="29"/>
      <c r="K14" s="29"/>
      <c r="N14" s="5" t="s">
        <v>15</v>
      </c>
      <c r="O14" s="10">
        <f>4</f>
        <v>4</v>
      </c>
      <c r="P14" s="10">
        <f>7</f>
        <v>7</v>
      </c>
      <c r="Q14" s="7">
        <v>1</v>
      </c>
      <c r="R14" s="10">
        <f t="shared" si="3"/>
        <v>0.72</v>
      </c>
      <c r="S14" s="11">
        <f>ROUND(PRODUCT(O14:Q14)^(1/3),2)</f>
        <v>3.04</v>
      </c>
    </row>
    <row r="15" spans="2:19" ht="19" x14ac:dyDescent="0.25">
      <c r="B15" s="2" t="s">
        <v>19</v>
      </c>
      <c r="C15" s="4" cm="1">
        <f t="array" ref="C15">ROUND(SUMPRODUCT(C11:J11,TRANSPOSE(K3:K10)),2)</f>
        <v>9.36</v>
      </c>
      <c r="D15" s="4"/>
      <c r="E15" s="4"/>
      <c r="F15" s="12" t="s">
        <v>10</v>
      </c>
      <c r="G15" s="4">
        <f>ROUND((C15-COUNT(C3:J3))/(COUNT(C3:J3)-1),2)</f>
        <v>0.19</v>
      </c>
      <c r="H15" s="4"/>
      <c r="I15" s="3"/>
      <c r="J15" s="12" t="s">
        <v>11</v>
      </c>
      <c r="K15" s="13">
        <f>ROUND(G15/I20,2)</f>
        <v>0.13</v>
      </c>
      <c r="N15" s="2" t="s">
        <v>9</v>
      </c>
      <c r="O15" s="1">
        <f t="shared" ref="O15:Q15" si="5">SUM(O12:O14)</f>
        <v>5.5</v>
      </c>
      <c r="P15" s="1">
        <f t="shared" si="5"/>
        <v>10</v>
      </c>
      <c r="Q15" s="1">
        <f t="shared" si="5"/>
        <v>1.3900000000000001</v>
      </c>
      <c r="R15" s="1">
        <f>ROUND(SUM(R12:R14),2)</f>
        <v>1.01</v>
      </c>
      <c r="S15" s="1">
        <f>SUM(S12:S14)</f>
        <v>4.24</v>
      </c>
    </row>
    <row r="16" spans="2:19" ht="19" thickBot="1" x14ac:dyDescent="0.25">
      <c r="B16" s="2"/>
    </row>
    <row r="17" spans="1:19" ht="20" thickTop="1" thickBot="1" x14ac:dyDescent="0.25">
      <c r="N17" s="28" t="s">
        <v>20</v>
      </c>
      <c r="O17" s="28"/>
      <c r="P17" s="28"/>
      <c r="Q17" s="28"/>
      <c r="R17" s="28"/>
      <c r="S17" s="28"/>
    </row>
    <row r="18" spans="1:19" ht="20" thickTop="1" thickBot="1" x14ac:dyDescent="0.25">
      <c r="N18" s="21" t="s">
        <v>19</v>
      </c>
      <c r="O18" s="24" cm="1">
        <f t="array" ref="O18">ROUND(SUMPRODUCT(O15:Q15,TRANSPOSE(R12:R14)),2)</f>
        <v>3.05</v>
      </c>
      <c r="P18" s="21" t="s">
        <v>10</v>
      </c>
      <c r="Q18" s="26">
        <f>(O18-3)/(3-1)</f>
        <v>2.4999999999999911E-2</v>
      </c>
      <c r="R18" s="21" t="s">
        <v>11</v>
      </c>
      <c r="S18" s="27">
        <f>Q18/$D$20</f>
        <v>4.3103448275861919E-2</v>
      </c>
    </row>
    <row r="19" spans="1:19" ht="21" thickTop="1" thickBot="1" x14ac:dyDescent="0.3">
      <c r="A19" s="5" t="s">
        <v>17</v>
      </c>
      <c r="B19" s="10">
        <v>1</v>
      </c>
      <c r="C19" s="10">
        <v>2</v>
      </c>
      <c r="D19" s="10">
        <v>3</v>
      </c>
      <c r="E19" s="10">
        <v>4</v>
      </c>
      <c r="F19" s="10">
        <v>5</v>
      </c>
      <c r="G19" s="10">
        <v>6</v>
      </c>
      <c r="H19" s="10">
        <v>7</v>
      </c>
      <c r="I19" s="10">
        <v>8</v>
      </c>
      <c r="J19" s="10">
        <v>9</v>
      </c>
      <c r="K19" s="10">
        <v>10</v>
      </c>
    </row>
    <row r="20" spans="1:19" ht="20" thickBot="1" x14ac:dyDescent="0.3">
      <c r="A20" s="5" t="s">
        <v>18</v>
      </c>
      <c r="B20" s="10">
        <v>0</v>
      </c>
      <c r="C20" s="10">
        <v>0</v>
      </c>
      <c r="D20" s="10">
        <v>0.57999999999999996</v>
      </c>
      <c r="E20" s="10">
        <v>0.9</v>
      </c>
      <c r="F20" s="10">
        <v>1.1200000000000001</v>
      </c>
      <c r="G20" s="10">
        <v>1.24</v>
      </c>
      <c r="H20" s="10">
        <v>1.32</v>
      </c>
      <c r="I20" s="10">
        <v>1.41</v>
      </c>
      <c r="J20" s="10">
        <v>1.45</v>
      </c>
      <c r="K20" s="10">
        <v>1.49</v>
      </c>
      <c r="N20" s="5" t="s">
        <v>3</v>
      </c>
      <c r="O20" s="8" t="s">
        <v>13</v>
      </c>
      <c r="P20" s="8" t="s">
        <v>14</v>
      </c>
      <c r="Q20" s="8" t="s">
        <v>15</v>
      </c>
      <c r="R20" s="8" t="s">
        <v>12</v>
      </c>
      <c r="S20" s="8" t="s">
        <v>16</v>
      </c>
    </row>
    <row r="21" spans="1:19" ht="20" thickBot="1" x14ac:dyDescent="0.3">
      <c r="N21" s="5" t="s">
        <v>13</v>
      </c>
      <c r="O21" s="7">
        <v>1</v>
      </c>
      <c r="P21" s="10">
        <f>2</f>
        <v>2</v>
      </c>
      <c r="Q21" s="10">
        <f>2</f>
        <v>2</v>
      </c>
      <c r="R21" s="9">
        <f>ROUND(S21/$S$24,2)</f>
        <v>0.47</v>
      </c>
      <c r="S21" s="6">
        <f>ROUND(PRODUCT(O21:Q21)^(1/3),2)</f>
        <v>1.59</v>
      </c>
    </row>
    <row r="22" spans="1:19" ht="20" thickBot="1" x14ac:dyDescent="0.3">
      <c r="N22" s="5" t="s">
        <v>14</v>
      </c>
      <c r="O22" s="10">
        <f>O21/P21</f>
        <v>0.5</v>
      </c>
      <c r="P22" s="7">
        <v>1</v>
      </c>
      <c r="Q22" s="10">
        <f>ROUND(1/P23,2)</f>
        <v>0.2</v>
      </c>
      <c r="R22" s="9">
        <f>ROUND(S22/$S$24,2)</f>
        <v>0.13</v>
      </c>
      <c r="S22" s="6">
        <f t="shared" ref="S22:S23" si="6">ROUND(PRODUCT(O22:Q22)^(1/3),2)</f>
        <v>0.46</v>
      </c>
    </row>
    <row r="23" spans="1:19" ht="20" thickBot="1" x14ac:dyDescent="0.3">
      <c r="N23" s="5" t="s">
        <v>15</v>
      </c>
      <c r="O23" s="10">
        <f>1/Q21</f>
        <v>0.5</v>
      </c>
      <c r="P23" s="10">
        <f>5</f>
        <v>5</v>
      </c>
      <c r="Q23" s="7">
        <v>1</v>
      </c>
      <c r="R23" s="9">
        <f>ROUND(S23/$S$24,2)</f>
        <v>0.4</v>
      </c>
      <c r="S23" s="6">
        <f t="shared" si="6"/>
        <v>1.36</v>
      </c>
    </row>
    <row r="24" spans="1:19" ht="18" x14ac:dyDescent="0.2">
      <c r="N24" s="2" t="s">
        <v>9</v>
      </c>
      <c r="O24" s="1">
        <f t="shared" ref="O24" si="7">SUM(O21:O23)</f>
        <v>2</v>
      </c>
      <c r="P24" s="1">
        <f t="shared" ref="P24" si="8">SUM(P21:P23)</f>
        <v>8</v>
      </c>
      <c r="Q24" s="1">
        <f t="shared" ref="Q24" si="9">SUM(Q21:Q23)</f>
        <v>3.2</v>
      </c>
      <c r="R24" s="1">
        <f>SUM(R21:R23)</f>
        <v>1</v>
      </c>
      <c r="S24" s="1">
        <f>SUM(S21:S23)</f>
        <v>3.41</v>
      </c>
    </row>
    <row r="25" spans="1:19" ht="17" thickBot="1" x14ac:dyDescent="0.25"/>
    <row r="26" spans="1:19" ht="20" thickTop="1" thickBot="1" x14ac:dyDescent="0.25">
      <c r="N26" s="28" t="s">
        <v>20</v>
      </c>
      <c r="O26" s="28"/>
      <c r="P26" s="28"/>
      <c r="Q26" s="28"/>
      <c r="R26" s="28"/>
      <c r="S26" s="28"/>
    </row>
    <row r="27" spans="1:19" ht="20" thickTop="1" thickBot="1" x14ac:dyDescent="0.25">
      <c r="N27" s="21" t="s">
        <v>19</v>
      </c>
      <c r="O27" s="24" cm="1">
        <f t="array" ref="O27">ROUND(SUMPRODUCT(O24:Q24,TRANSPOSE(R21:R23)),2)</f>
        <v>3.26</v>
      </c>
      <c r="P27" s="21" t="s">
        <v>10</v>
      </c>
      <c r="Q27" s="24">
        <f>(O27-3)/(3-1)</f>
        <v>0.12999999999999989</v>
      </c>
      <c r="R27" s="21" t="s">
        <v>11</v>
      </c>
      <c r="S27" s="27">
        <f>Q27/$D$20</f>
        <v>0.2241379310344826</v>
      </c>
    </row>
    <row r="28" spans="1:19" ht="18" thickTop="1" thickBot="1" x14ac:dyDescent="0.25"/>
    <row r="29" spans="1:19" ht="20" thickBot="1" x14ac:dyDescent="0.3">
      <c r="N29" s="5" t="s">
        <v>4</v>
      </c>
      <c r="O29" s="8" t="s">
        <v>13</v>
      </c>
      <c r="P29" s="8" t="s">
        <v>14</v>
      </c>
      <c r="Q29" s="8" t="s">
        <v>15</v>
      </c>
      <c r="R29" s="8" t="s">
        <v>12</v>
      </c>
      <c r="S29" s="8" t="s">
        <v>16</v>
      </c>
    </row>
    <row r="30" spans="1:19" ht="20" thickBot="1" x14ac:dyDescent="0.3">
      <c r="N30" s="5" t="s">
        <v>13</v>
      </c>
      <c r="O30" s="7">
        <v>1</v>
      </c>
      <c r="P30" s="10">
        <f>5</f>
        <v>5</v>
      </c>
      <c r="Q30" s="10">
        <f>3</f>
        <v>3</v>
      </c>
      <c r="R30" s="16">
        <f>ROUND(S30/$S$33,3)</f>
        <v>0.60399999999999998</v>
      </c>
      <c r="S30" s="6">
        <f>ROUND(PRODUCT(O30:Q30)^(1/3),2)</f>
        <v>2.4700000000000002</v>
      </c>
    </row>
    <row r="31" spans="1:19" ht="20" thickBot="1" x14ac:dyDescent="0.3">
      <c r="N31" s="5" t="s">
        <v>14</v>
      </c>
      <c r="O31" s="10">
        <f>O30/P30</f>
        <v>0.2</v>
      </c>
      <c r="P31" s="7">
        <v>1</v>
      </c>
      <c r="Q31" s="10">
        <f>ROUND(1/P32,2)</f>
        <v>0.14000000000000001</v>
      </c>
      <c r="R31" s="16">
        <f>ROUND(S31/$S$33,3)</f>
        <v>7.2999999999999995E-2</v>
      </c>
      <c r="S31" s="6">
        <f t="shared" ref="S31:S32" si="10">ROUND(PRODUCT(O31:Q31)^(1/3),2)</f>
        <v>0.3</v>
      </c>
    </row>
    <row r="32" spans="1:19" ht="20" thickBot="1" x14ac:dyDescent="0.3">
      <c r="N32" s="5" t="s">
        <v>15</v>
      </c>
      <c r="O32" s="10">
        <f>ROUND(1/Q30,2)</f>
        <v>0.33</v>
      </c>
      <c r="P32" s="10">
        <f>7</f>
        <v>7</v>
      </c>
      <c r="Q32" s="7">
        <v>1</v>
      </c>
      <c r="R32" s="16">
        <f>ROUND(S32/$S$33,3)</f>
        <v>0.32300000000000001</v>
      </c>
      <c r="S32" s="6">
        <f t="shared" si="10"/>
        <v>1.32</v>
      </c>
    </row>
    <row r="33" spans="14:19" ht="18" x14ac:dyDescent="0.2">
      <c r="N33" s="2" t="s">
        <v>9</v>
      </c>
      <c r="O33" s="1">
        <f t="shared" ref="O33" si="11">SUM(O30:O32)</f>
        <v>1.53</v>
      </c>
      <c r="P33" s="1">
        <f t="shared" ref="P33" si="12">SUM(P30:P32)</f>
        <v>13</v>
      </c>
      <c r="Q33" s="1">
        <f t="shared" ref="Q33" si="13">SUM(Q30:Q32)</f>
        <v>4.1400000000000006</v>
      </c>
      <c r="R33" s="1">
        <f>SUM(R30:R32)</f>
        <v>1</v>
      </c>
      <c r="S33" s="1">
        <f>SUM(S30:S32)</f>
        <v>4.09</v>
      </c>
    </row>
    <row r="34" spans="14:19" ht="17" thickBot="1" x14ac:dyDescent="0.25"/>
    <row r="35" spans="14:19" ht="20" thickTop="1" thickBot="1" x14ac:dyDescent="0.25">
      <c r="N35" s="28" t="s">
        <v>20</v>
      </c>
      <c r="O35" s="28"/>
      <c r="P35" s="28"/>
      <c r="Q35" s="28"/>
      <c r="R35" s="28"/>
      <c r="S35" s="28"/>
    </row>
    <row r="36" spans="14:19" ht="20" thickTop="1" thickBot="1" x14ac:dyDescent="0.25">
      <c r="N36" s="21" t="s">
        <v>19</v>
      </c>
      <c r="O36" s="24" cm="1">
        <f t="array" ref="O36">ROUND(SUMPRODUCT(O33:Q33,TRANSPOSE(R30:R32)),2)</f>
        <v>3.21</v>
      </c>
      <c r="P36" s="21" t="s">
        <v>10</v>
      </c>
      <c r="Q36" s="26">
        <f>(O36-3)/(3-1)</f>
        <v>0.10499999999999998</v>
      </c>
      <c r="R36" s="21" t="s">
        <v>11</v>
      </c>
      <c r="S36" s="27">
        <f>Q36/$D$20</f>
        <v>0.18103448275862066</v>
      </c>
    </row>
    <row r="37" spans="14:19" ht="18" thickTop="1" thickBot="1" x14ac:dyDescent="0.25"/>
    <row r="38" spans="14:19" ht="20" thickBot="1" x14ac:dyDescent="0.3">
      <c r="N38" s="5" t="s">
        <v>5</v>
      </c>
      <c r="O38" s="8" t="s">
        <v>13</v>
      </c>
      <c r="P38" s="8" t="s">
        <v>14</v>
      </c>
      <c r="Q38" s="8" t="s">
        <v>15</v>
      </c>
      <c r="R38" s="8" t="s">
        <v>12</v>
      </c>
      <c r="S38" s="8" t="s">
        <v>16</v>
      </c>
    </row>
    <row r="39" spans="14:19" ht="20" thickBot="1" x14ac:dyDescent="0.3">
      <c r="N39" s="5" t="s">
        <v>13</v>
      </c>
      <c r="O39" s="7">
        <v>1</v>
      </c>
      <c r="P39" s="10">
        <f>1</f>
        <v>1</v>
      </c>
      <c r="Q39" s="10">
        <f>1</f>
        <v>1</v>
      </c>
      <c r="R39" s="16">
        <f>S39/S42</f>
        <v>0.33333333333333331</v>
      </c>
      <c r="S39" s="6">
        <f>ROUND(PRODUCT(O39:Q39)/(1/3),2)</f>
        <v>3</v>
      </c>
    </row>
    <row r="40" spans="14:19" ht="20" thickBot="1" x14ac:dyDescent="0.3">
      <c r="N40" s="5" t="s">
        <v>14</v>
      </c>
      <c r="O40" s="10">
        <f>O39/P39</f>
        <v>1</v>
      </c>
      <c r="P40" s="7">
        <v>1</v>
      </c>
      <c r="Q40" s="10">
        <f>1</f>
        <v>1</v>
      </c>
      <c r="R40" s="16">
        <f>3/9</f>
        <v>0.33333333333333331</v>
      </c>
      <c r="S40" s="6">
        <f t="shared" ref="S40:S41" si="14">ROUND(PRODUCT(O40:Q40)/(1/3),2)</f>
        <v>3</v>
      </c>
    </row>
    <row r="41" spans="14:19" ht="20" thickBot="1" x14ac:dyDescent="0.3">
      <c r="N41" s="5" t="s">
        <v>15</v>
      </c>
      <c r="O41" s="10">
        <f>ROUND(1/Q39,2)</f>
        <v>1</v>
      </c>
      <c r="P41" s="10">
        <v>1</v>
      </c>
      <c r="Q41" s="7">
        <v>1</v>
      </c>
      <c r="R41" s="16">
        <f>3/9</f>
        <v>0.33333333333333331</v>
      </c>
      <c r="S41" s="6">
        <f t="shared" si="14"/>
        <v>3</v>
      </c>
    </row>
    <row r="42" spans="14:19" ht="18" x14ac:dyDescent="0.2">
      <c r="N42" s="2" t="s">
        <v>9</v>
      </c>
      <c r="O42" s="1">
        <f t="shared" ref="O42" si="15">SUM(O39:O41)</f>
        <v>3</v>
      </c>
      <c r="P42" s="1">
        <f t="shared" ref="P42" si="16">SUM(P39:P41)</f>
        <v>3</v>
      </c>
      <c r="Q42" s="1">
        <f t="shared" ref="Q42" si="17">SUM(Q39:Q41)</f>
        <v>3</v>
      </c>
      <c r="R42" s="1">
        <f>SUM(R39:R41)</f>
        <v>1</v>
      </c>
      <c r="S42" s="1">
        <f>SUM(S39:S41)</f>
        <v>9</v>
      </c>
    </row>
    <row r="43" spans="14:19" ht="17" thickBot="1" x14ac:dyDescent="0.25"/>
    <row r="44" spans="14:19" ht="20" thickTop="1" thickBot="1" x14ac:dyDescent="0.25">
      <c r="N44" s="28" t="s">
        <v>20</v>
      </c>
      <c r="O44" s="28"/>
      <c r="P44" s="28"/>
      <c r="Q44" s="28"/>
      <c r="R44" s="28"/>
      <c r="S44" s="28"/>
    </row>
    <row r="45" spans="14:19" ht="20" thickTop="1" thickBot="1" x14ac:dyDescent="0.25">
      <c r="N45" s="21" t="s">
        <v>19</v>
      </c>
      <c r="O45" s="24" cm="1">
        <f t="array" ref="O45">ROUND(SUMPRODUCT(O42:Q42,TRANSPOSE(R39:R41)),2)</f>
        <v>3</v>
      </c>
      <c r="P45" s="21" t="s">
        <v>10</v>
      </c>
      <c r="Q45" s="24">
        <f>(O45-3)/(3-1)</f>
        <v>0</v>
      </c>
      <c r="R45" s="21" t="s">
        <v>11</v>
      </c>
      <c r="S45" s="27">
        <f>Q45/$D$20</f>
        <v>0</v>
      </c>
    </row>
    <row r="46" spans="14:19" ht="18" thickTop="1" thickBot="1" x14ac:dyDescent="0.25"/>
    <row r="47" spans="14:19" ht="20" thickBot="1" x14ac:dyDescent="0.3">
      <c r="N47" s="5" t="s">
        <v>6</v>
      </c>
      <c r="O47" s="8" t="s">
        <v>13</v>
      </c>
      <c r="P47" s="8" t="s">
        <v>14</v>
      </c>
      <c r="Q47" s="8" t="s">
        <v>15</v>
      </c>
      <c r="R47" s="8" t="s">
        <v>12</v>
      </c>
      <c r="S47" s="8" t="s">
        <v>16</v>
      </c>
    </row>
    <row r="48" spans="14:19" ht="20" thickBot="1" x14ac:dyDescent="0.3">
      <c r="N48" s="5" t="s">
        <v>13</v>
      </c>
      <c r="O48" s="7">
        <v>1</v>
      </c>
      <c r="P48" s="10">
        <f>ROUND(1/O49,2)</f>
        <v>0.33</v>
      </c>
      <c r="Q48" s="10">
        <v>7</v>
      </c>
      <c r="R48" s="9">
        <f>ROUND(S48/$S$51,2)</f>
        <v>0.34</v>
      </c>
      <c r="S48" s="6">
        <f>ROUND(PRODUCT(O48:Q48)^(1/3),2)</f>
        <v>1.32</v>
      </c>
    </row>
    <row r="49" spans="14:19" ht="20" thickBot="1" x14ac:dyDescent="0.3">
      <c r="N49" s="5" t="s">
        <v>14</v>
      </c>
      <c r="O49" s="10">
        <v>3</v>
      </c>
      <c r="P49" s="7">
        <v>1</v>
      </c>
      <c r="Q49" s="10">
        <v>4</v>
      </c>
      <c r="R49" s="9">
        <f>ROUND(S49/$S$51,2)</f>
        <v>0.57999999999999996</v>
      </c>
      <c r="S49" s="6">
        <f t="shared" ref="S49:S50" si="18">ROUND(PRODUCT(O49:Q49)^(1/3),2)</f>
        <v>2.29</v>
      </c>
    </row>
    <row r="50" spans="14:19" ht="20" thickBot="1" x14ac:dyDescent="0.3">
      <c r="N50" s="5" t="s">
        <v>15</v>
      </c>
      <c r="O50" s="10">
        <f>ROUND(1/Q48,2)</f>
        <v>0.14000000000000001</v>
      </c>
      <c r="P50" s="10">
        <f>1/Q49</f>
        <v>0.25</v>
      </c>
      <c r="Q50" s="7">
        <v>1</v>
      </c>
      <c r="R50" s="9">
        <f>ROUND(S50/$S$51,2)</f>
        <v>0.08</v>
      </c>
      <c r="S50" s="6">
        <f t="shared" si="18"/>
        <v>0.33</v>
      </c>
    </row>
    <row r="51" spans="14:19" ht="18" x14ac:dyDescent="0.2">
      <c r="N51" s="2" t="s">
        <v>9</v>
      </c>
      <c r="O51" s="1">
        <f t="shared" ref="O51" si="19">SUM(O48:O50)</f>
        <v>4.1399999999999997</v>
      </c>
      <c r="P51" s="1">
        <f t="shared" ref="P51" si="20">SUM(P48:P50)</f>
        <v>1.58</v>
      </c>
      <c r="Q51" s="1">
        <f t="shared" ref="Q51" si="21">SUM(Q48:Q50)</f>
        <v>12</v>
      </c>
      <c r="R51" s="1">
        <f>SUM(R48:R50)</f>
        <v>0.99999999999999989</v>
      </c>
      <c r="S51" s="1">
        <f>SUM(S48:S50)</f>
        <v>3.9400000000000004</v>
      </c>
    </row>
    <row r="52" spans="14:19" ht="17" thickBot="1" x14ac:dyDescent="0.25"/>
    <row r="53" spans="14:19" ht="20" thickTop="1" thickBot="1" x14ac:dyDescent="0.25">
      <c r="N53" s="28" t="s">
        <v>20</v>
      </c>
      <c r="O53" s="28"/>
      <c r="P53" s="28"/>
      <c r="Q53" s="28"/>
      <c r="R53" s="28"/>
      <c r="S53" s="28"/>
    </row>
    <row r="54" spans="14:19" ht="20" thickTop="1" thickBot="1" x14ac:dyDescent="0.25">
      <c r="N54" s="21" t="s">
        <v>19</v>
      </c>
      <c r="O54" s="24" cm="1">
        <f t="array" ref="O54">ROUND(SUMPRODUCT(O51:Q51,TRANSPOSE(R48:R50)),2)</f>
        <v>3.28</v>
      </c>
      <c r="P54" s="21" t="s">
        <v>10</v>
      </c>
      <c r="Q54" s="24">
        <f>(O54-3)/(3-1)</f>
        <v>0.1399999999999999</v>
      </c>
      <c r="R54" s="21" t="s">
        <v>11</v>
      </c>
      <c r="S54" s="27">
        <f>Q54/$D$20</f>
        <v>0.24137931034482743</v>
      </c>
    </row>
    <row r="55" spans="14:19" ht="18" thickTop="1" thickBot="1" x14ac:dyDescent="0.25"/>
    <row r="56" spans="14:19" ht="20" thickBot="1" x14ac:dyDescent="0.3">
      <c r="N56" s="5" t="s">
        <v>7</v>
      </c>
      <c r="O56" s="8" t="s">
        <v>13</v>
      </c>
      <c r="P56" s="8" t="s">
        <v>14</v>
      </c>
      <c r="Q56" s="8" t="s">
        <v>15</v>
      </c>
      <c r="R56" s="8" t="s">
        <v>12</v>
      </c>
      <c r="S56" s="8" t="s">
        <v>16</v>
      </c>
    </row>
    <row r="57" spans="14:19" ht="20" thickBot="1" x14ac:dyDescent="0.3">
      <c r="N57" s="5" t="s">
        <v>13</v>
      </c>
      <c r="O57" s="7">
        <v>1</v>
      </c>
      <c r="P57" s="10">
        <f>ROUND(1/O58,2)</f>
        <v>0.33</v>
      </c>
      <c r="Q57" s="10">
        <v>6</v>
      </c>
      <c r="R57" s="9">
        <f>ROUND(S57/$S$60,2)</f>
        <v>0.3</v>
      </c>
      <c r="S57" s="6">
        <f>ROUND(PRODUCT(O57:Q57)^(1/3),2)</f>
        <v>1.26</v>
      </c>
    </row>
    <row r="58" spans="14:19" ht="20" thickBot="1" x14ac:dyDescent="0.3">
      <c r="N58" s="5" t="s">
        <v>14</v>
      </c>
      <c r="O58" s="10">
        <v>3</v>
      </c>
      <c r="P58" s="7">
        <v>1</v>
      </c>
      <c r="Q58" s="10">
        <v>6</v>
      </c>
      <c r="R58" s="9">
        <f>ROUND(S58/$S$60,2)</f>
        <v>0.63</v>
      </c>
      <c r="S58" s="6">
        <f t="shared" ref="S58:S59" si="22">ROUND(PRODUCT(O58:Q58)^(1/3),2)</f>
        <v>2.62</v>
      </c>
    </row>
    <row r="59" spans="14:19" ht="20" thickBot="1" x14ac:dyDescent="0.3">
      <c r="N59" s="5" t="s">
        <v>15</v>
      </c>
      <c r="O59" s="10">
        <f>ROUND(1/Q57,2)</f>
        <v>0.17</v>
      </c>
      <c r="P59" s="10">
        <f>ROUND(1/Q58,2)</f>
        <v>0.17</v>
      </c>
      <c r="Q59" s="7">
        <v>1</v>
      </c>
      <c r="R59" s="9">
        <f>ROUND(S59/$S$60,2)</f>
        <v>7.0000000000000007E-2</v>
      </c>
      <c r="S59" s="6">
        <f t="shared" si="22"/>
        <v>0.31</v>
      </c>
    </row>
    <row r="60" spans="14:19" ht="18" x14ac:dyDescent="0.2">
      <c r="N60" s="2" t="s">
        <v>9</v>
      </c>
      <c r="O60" s="1">
        <f t="shared" ref="O60" si="23">SUM(O57:O59)</f>
        <v>4.17</v>
      </c>
      <c r="P60" s="1">
        <f t="shared" ref="P60" si="24">SUM(P57:P59)</f>
        <v>1.5</v>
      </c>
      <c r="Q60" s="1">
        <f t="shared" ref="Q60" si="25">SUM(Q57:Q59)</f>
        <v>13</v>
      </c>
      <c r="R60" s="1">
        <f>SUM(R57:R59)</f>
        <v>1</v>
      </c>
      <c r="S60" s="1">
        <f>SUM(S57:S59)</f>
        <v>4.1899999999999995</v>
      </c>
    </row>
    <row r="61" spans="14:19" ht="17" thickBot="1" x14ac:dyDescent="0.25"/>
    <row r="62" spans="14:19" ht="20" thickTop="1" thickBot="1" x14ac:dyDescent="0.25">
      <c r="N62" s="28" t="s">
        <v>20</v>
      </c>
      <c r="O62" s="28"/>
      <c r="P62" s="28"/>
      <c r="Q62" s="28"/>
      <c r="R62" s="28"/>
      <c r="S62" s="28"/>
    </row>
    <row r="63" spans="14:19" ht="20" thickTop="1" thickBot="1" x14ac:dyDescent="0.25">
      <c r="N63" s="21" t="s">
        <v>19</v>
      </c>
      <c r="O63" s="24" cm="1">
        <f t="array" ref="O63">ROUND(SUMPRODUCT(O60:Q60,TRANSPOSE(R57:R59)),2)</f>
        <v>3.11</v>
      </c>
      <c r="P63" s="21" t="s">
        <v>10</v>
      </c>
      <c r="Q63" s="26">
        <f>(O63-3)/(3-1)</f>
        <v>5.4999999999999938E-2</v>
      </c>
      <c r="R63" s="21" t="s">
        <v>11</v>
      </c>
      <c r="S63" s="27">
        <f>Q63/$D$20</f>
        <v>9.482758620689645E-2</v>
      </c>
    </row>
    <row r="64" spans="14:19" ht="18" thickTop="1" thickBot="1" x14ac:dyDescent="0.25"/>
    <row r="65" spans="14:19" ht="20" thickBot="1" x14ac:dyDescent="0.3">
      <c r="N65" s="5" t="s">
        <v>8</v>
      </c>
      <c r="O65" s="8" t="s">
        <v>13</v>
      </c>
      <c r="P65" s="8" t="s">
        <v>14</v>
      </c>
      <c r="Q65" s="8" t="s">
        <v>15</v>
      </c>
      <c r="R65" s="8" t="s">
        <v>12</v>
      </c>
      <c r="S65" s="8" t="s">
        <v>16</v>
      </c>
    </row>
    <row r="66" spans="14:19" ht="20" thickBot="1" x14ac:dyDescent="0.3">
      <c r="N66" s="5" t="s">
        <v>13</v>
      </c>
      <c r="O66" s="7">
        <v>1</v>
      </c>
      <c r="P66" s="10">
        <v>2</v>
      </c>
      <c r="Q66" s="10">
        <v>5</v>
      </c>
      <c r="R66" s="9">
        <f>ROUND(S66/$S$69,2)</f>
        <v>0.56000000000000005</v>
      </c>
      <c r="S66" s="6">
        <f>ROUND(PRODUCT(O66:Q66)^(1/3),2)</f>
        <v>2.15</v>
      </c>
    </row>
    <row r="67" spans="14:19" ht="20" thickBot="1" x14ac:dyDescent="0.3">
      <c r="N67" s="5" t="s">
        <v>14</v>
      </c>
      <c r="O67" s="10">
        <f>O66/P66</f>
        <v>0.5</v>
      </c>
      <c r="P67" s="7">
        <v>1</v>
      </c>
      <c r="Q67" s="10">
        <v>5</v>
      </c>
      <c r="R67" s="9">
        <f>ROUND(S67/$S$69,2)</f>
        <v>0.35</v>
      </c>
      <c r="S67" s="6">
        <f t="shared" ref="S67:S68" si="26">ROUND(PRODUCT(O67:Q67)^(1/3),2)</f>
        <v>1.36</v>
      </c>
    </row>
    <row r="68" spans="14:19" ht="20" thickBot="1" x14ac:dyDescent="0.3">
      <c r="N68" s="5" t="s">
        <v>15</v>
      </c>
      <c r="O68" s="10">
        <f>1/Q66</f>
        <v>0.2</v>
      </c>
      <c r="P68" s="10">
        <f>ROUND(1/Q67,2)</f>
        <v>0.2</v>
      </c>
      <c r="Q68" s="7">
        <v>1</v>
      </c>
      <c r="R68" s="9">
        <f>ROUND(S68/$S$69,2)</f>
        <v>0.09</v>
      </c>
      <c r="S68" s="6">
        <f t="shared" si="26"/>
        <v>0.34</v>
      </c>
    </row>
    <row r="69" spans="14:19" ht="18" x14ac:dyDescent="0.2">
      <c r="N69" s="2" t="s">
        <v>9</v>
      </c>
      <c r="O69" s="1">
        <f t="shared" ref="O69" si="27">SUM(O66:O68)</f>
        <v>1.7</v>
      </c>
      <c r="P69" s="1">
        <f t="shared" ref="P69" si="28">SUM(P66:P68)</f>
        <v>3.2</v>
      </c>
      <c r="Q69" s="1">
        <f t="shared" ref="Q69" si="29">SUM(Q66:Q68)</f>
        <v>11</v>
      </c>
      <c r="R69" s="1">
        <f>SUM(R66:R68)</f>
        <v>1</v>
      </c>
      <c r="S69" s="1">
        <f>SUM(S66:S68)</f>
        <v>3.8499999999999996</v>
      </c>
    </row>
    <row r="70" spans="14:19" ht="17" thickBot="1" x14ac:dyDescent="0.25"/>
    <row r="71" spans="14:19" ht="20" thickTop="1" thickBot="1" x14ac:dyDescent="0.25">
      <c r="N71" s="30" t="s">
        <v>20</v>
      </c>
      <c r="O71" s="31"/>
      <c r="P71" s="31"/>
      <c r="Q71" s="31"/>
      <c r="R71" s="31"/>
      <c r="S71" s="32"/>
    </row>
    <row r="72" spans="14:19" ht="20" thickTop="1" thickBot="1" x14ac:dyDescent="0.25">
      <c r="N72" s="21" t="s">
        <v>19</v>
      </c>
      <c r="O72" s="24" cm="1">
        <f t="array" ref="O72">ROUND(SUMPRODUCT(O69:Q69,TRANSPOSE(R66:R68)),2)</f>
        <v>3.06</v>
      </c>
      <c r="P72" s="23" t="s">
        <v>10</v>
      </c>
      <c r="Q72" s="26">
        <f>(O72-3)/(3-1)</f>
        <v>3.0000000000000027E-2</v>
      </c>
      <c r="R72" s="25" t="s">
        <v>11</v>
      </c>
      <c r="S72" s="22">
        <f>Q72/$D$20</f>
        <v>5.1724137931034531E-2</v>
      </c>
    </row>
    <row r="73" spans="14:19" ht="17" thickTop="1" x14ac:dyDescent="0.2"/>
    <row r="75" spans="14:19" ht="18" x14ac:dyDescent="0.2">
      <c r="N75" s="17" t="s">
        <v>21</v>
      </c>
      <c r="O75" s="17" t="s">
        <v>22</v>
      </c>
      <c r="P75" s="17" t="s">
        <v>23</v>
      </c>
      <c r="Q75" s="17" t="s">
        <v>24</v>
      </c>
      <c r="R75" s="17" t="s">
        <v>25</v>
      </c>
    </row>
    <row r="76" spans="14:19" ht="19" x14ac:dyDescent="0.25">
      <c r="N76" s="18">
        <f>ROUND((K3*R3)+(K4*R12)+K5*R21+K6*R30+K7*R39+K8*R48+K9*R57+L10*R66,2)</f>
        <v>0.43</v>
      </c>
      <c r="O76" s="19">
        <f>K3*R4+K4*R13+K5*R22+K6*R31+K7*R40+K8*R49+K9*R58+K10*R67</f>
        <v>0.3025566666666667</v>
      </c>
      <c r="P76" s="19">
        <f>K3*R5+K4*R14+K5*R23+K6*R32+K7*R41+K8*R50+K9*R59+K10*R68</f>
        <v>0.38426666666666665</v>
      </c>
      <c r="Q76" s="19">
        <f>K3*Q9+K4*Q18+K5*Q27+K6*Q36+K7*Q45+K8*Q54+K9*Q63+K10*Q72</f>
        <v>6.3149999999999942E-2</v>
      </c>
      <c r="R76" s="20">
        <f>Q76/D20</f>
        <v>0.10887931034482749</v>
      </c>
    </row>
  </sheetData>
  <mergeCells count="9">
    <mergeCell ref="N8:S8"/>
    <mergeCell ref="B14:K14"/>
    <mergeCell ref="N71:S71"/>
    <mergeCell ref="N17:S17"/>
    <mergeCell ref="N26:S26"/>
    <mergeCell ref="N35:S35"/>
    <mergeCell ref="N44:S44"/>
    <mergeCell ref="N53:S53"/>
    <mergeCell ref="N62:S6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Serega Osin</dc:creator>
  <cp:lastModifiedBy>Serega Osin</cp:lastModifiedBy>
  <dcterms:created xsi:type="dcterms:W3CDTF">2026-04-13T07:25:15Z</dcterms:created>
  <dcterms:modified xsi:type="dcterms:W3CDTF">2026-04-14T11:18:18Z</dcterms:modified>
</cp:coreProperties>
</file>